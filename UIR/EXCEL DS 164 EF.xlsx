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51993\Documents\"/>
    </mc:Choice>
  </mc:AlternateContent>
  <xr:revisionPtr revIDLastSave="0" documentId="8_{35409C23-26B3-4606-81B9-B5338909294F}" xr6:coauthVersionLast="47" xr6:coauthVersionMax="47" xr10:uidLastSave="{00000000-0000-0000-0000-000000000000}"/>
  <bookViews>
    <workbookView xWindow="-108" yWindow="-108" windowWidth="23256" windowHeight="12456" xr2:uid="{2B1368FC-0B33-41A6-B9B6-CF117616BC81}"/>
  </bookViews>
  <sheets>
    <sheet name="EXCEL MANUEL" sheetId="1" r:id="rId1"/>
  </sheets>
  <externalReferences>
    <externalReference r:id="rId2"/>
    <externalReference r:id="rId3"/>
  </externalReferences>
  <definedNames>
    <definedName name="_xlnm._FilterDatabase" localSheetId="0" hidden="1">'EXCEL MANUEL'!$A$1:$J$136</definedName>
    <definedName name="ACTOP">#REF!</definedName>
    <definedName name="b">#REF!</definedName>
    <definedName name="_xlnm.Database">#REF!</definedName>
    <definedName name="CALAMINAS">#REF!</definedName>
    <definedName name="CLASI">#REF!</definedName>
    <definedName name="cplan">#REF!</definedName>
    <definedName name="DATA562">'[2]DATA 562'!$B$2:$F$564</definedName>
    <definedName name="datos1">#REF!</definedName>
    <definedName name="datos2">#REF!</definedName>
    <definedName name="datos3">#REF!</definedName>
    <definedName name="DDD">#REF!</definedName>
    <definedName name="EJEC">#REF!</definedName>
    <definedName name="FICHA">#REF!</definedName>
    <definedName name="FITOTOLDO">#REF!</definedName>
    <definedName name="friaje">#REF!</definedName>
    <definedName name="heladas">#REF!</definedName>
    <definedName name="JULIO">#REF!</definedName>
    <definedName name="KIT">#REF!</definedName>
    <definedName name="KITAPLI">#REF!</definedName>
    <definedName name="KITCONS">#REF!</definedName>
    <definedName name="KITI">#REF!</definedName>
    <definedName name="KITPAS">#REF!</definedName>
    <definedName name="kits">#REF!</definedName>
    <definedName name="NOVIEMBRE">#REF!</definedName>
    <definedName name="nuevo1">#REF!</definedName>
    <definedName name="POAAR">#REF!</definedName>
    <definedName name="PUERTAS">#REF!</definedName>
    <definedName name="SECFCONCA">#REF!</definedName>
    <definedName name="SECFUN">#REF!</definedName>
    <definedName name="TABLA">#REF!</definedName>
    <definedName name="XXXX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36" i="1" l="1"/>
  <c r="H136" i="1"/>
  <c r="G136" i="1"/>
  <c r="F136" i="1"/>
  <c r="E136" i="1"/>
  <c r="D136" i="1"/>
  <c r="C136" i="1"/>
  <c r="B136" i="1"/>
  <c r="I135" i="1"/>
  <c r="H135" i="1"/>
  <c r="G135" i="1"/>
  <c r="F135" i="1"/>
  <c r="E135" i="1"/>
  <c r="D135" i="1"/>
  <c r="C135" i="1"/>
  <c r="B135" i="1"/>
  <c r="I134" i="1"/>
  <c r="H134" i="1"/>
  <c r="G134" i="1"/>
  <c r="E134" i="1"/>
  <c r="D134" i="1"/>
  <c r="C134" i="1"/>
  <c r="B134" i="1"/>
  <c r="I133" i="1"/>
  <c r="H133" i="1"/>
  <c r="G133" i="1"/>
  <c r="E133" i="1"/>
  <c r="D133" i="1"/>
  <c r="C133" i="1"/>
  <c r="B133" i="1"/>
  <c r="I132" i="1"/>
  <c r="H132" i="1"/>
  <c r="G132" i="1"/>
  <c r="F132" i="1"/>
  <c r="E132" i="1"/>
  <c r="D132" i="1"/>
  <c r="C132" i="1"/>
  <c r="B132" i="1"/>
  <c r="I131" i="1"/>
  <c r="H131" i="1"/>
  <c r="G131" i="1"/>
  <c r="F131" i="1"/>
  <c r="E131" i="1"/>
  <c r="D131" i="1"/>
  <c r="C131" i="1"/>
  <c r="B131" i="1"/>
  <c r="I130" i="1"/>
  <c r="H130" i="1"/>
  <c r="G130" i="1"/>
  <c r="F130" i="1"/>
  <c r="E130" i="1"/>
  <c r="D130" i="1"/>
  <c r="C130" i="1"/>
  <c r="B130" i="1"/>
  <c r="I129" i="1"/>
  <c r="H129" i="1"/>
  <c r="G129" i="1"/>
  <c r="F129" i="1"/>
  <c r="E129" i="1"/>
  <c r="D129" i="1"/>
  <c r="C129" i="1"/>
  <c r="B129" i="1"/>
  <c r="I128" i="1"/>
  <c r="H128" i="1"/>
  <c r="G128" i="1"/>
  <c r="F128" i="1"/>
  <c r="E128" i="1"/>
  <c r="D128" i="1"/>
  <c r="C128" i="1"/>
  <c r="B128" i="1"/>
  <c r="I127" i="1"/>
  <c r="H127" i="1"/>
  <c r="G127" i="1"/>
  <c r="F127" i="1"/>
  <c r="E127" i="1"/>
  <c r="D127" i="1"/>
  <c r="C127" i="1"/>
  <c r="B127" i="1"/>
  <c r="I126" i="1"/>
  <c r="H126" i="1"/>
  <c r="G126" i="1"/>
  <c r="F126" i="1"/>
  <c r="E126" i="1"/>
  <c r="D126" i="1"/>
  <c r="C126" i="1"/>
  <c r="B126" i="1"/>
  <c r="I125" i="1"/>
  <c r="H125" i="1"/>
  <c r="G125" i="1"/>
  <c r="F125" i="1"/>
  <c r="E125" i="1"/>
  <c r="D125" i="1"/>
  <c r="C125" i="1"/>
  <c r="B125" i="1"/>
  <c r="I124" i="1"/>
  <c r="H124" i="1"/>
  <c r="G124" i="1"/>
  <c r="F124" i="1"/>
  <c r="E124" i="1"/>
  <c r="D124" i="1"/>
  <c r="C124" i="1"/>
  <c r="B124" i="1"/>
  <c r="I123" i="1"/>
  <c r="H123" i="1"/>
  <c r="G123" i="1"/>
  <c r="F123" i="1"/>
  <c r="E123" i="1"/>
  <c r="D123" i="1"/>
  <c r="C123" i="1"/>
  <c r="B123" i="1"/>
  <c r="I122" i="1"/>
  <c r="H122" i="1"/>
  <c r="G122" i="1"/>
  <c r="E122" i="1"/>
  <c r="D122" i="1"/>
  <c r="C122" i="1"/>
  <c r="B122" i="1"/>
  <c r="I121" i="1"/>
  <c r="H121" i="1"/>
  <c r="G121" i="1"/>
  <c r="E121" i="1"/>
  <c r="D121" i="1"/>
  <c r="C121" i="1"/>
  <c r="B121" i="1"/>
  <c r="I120" i="1"/>
  <c r="H120" i="1"/>
  <c r="G120" i="1"/>
  <c r="E120" i="1"/>
  <c r="D120" i="1"/>
  <c r="C120" i="1"/>
  <c r="B120" i="1"/>
  <c r="I119" i="1"/>
  <c r="H119" i="1"/>
  <c r="G119" i="1"/>
  <c r="E119" i="1"/>
  <c r="D119" i="1"/>
  <c r="C119" i="1"/>
  <c r="B119" i="1"/>
  <c r="I118" i="1"/>
  <c r="H118" i="1"/>
  <c r="G118" i="1"/>
  <c r="F118" i="1"/>
  <c r="E118" i="1"/>
  <c r="D118" i="1"/>
  <c r="C118" i="1"/>
  <c r="B118" i="1"/>
  <c r="I117" i="1"/>
  <c r="H117" i="1"/>
  <c r="G117" i="1"/>
  <c r="F117" i="1"/>
  <c r="E117" i="1"/>
  <c r="D117" i="1"/>
  <c r="C117" i="1"/>
  <c r="B117" i="1"/>
  <c r="I116" i="1"/>
  <c r="H116" i="1"/>
  <c r="G116" i="1"/>
  <c r="F116" i="1"/>
  <c r="E116" i="1"/>
  <c r="D116" i="1"/>
  <c r="C116" i="1"/>
  <c r="B116" i="1"/>
  <c r="I115" i="1"/>
  <c r="H115" i="1"/>
  <c r="G115" i="1"/>
  <c r="F115" i="1"/>
  <c r="E115" i="1"/>
  <c r="D115" i="1"/>
  <c r="C115" i="1"/>
  <c r="B115" i="1"/>
  <c r="I114" i="1"/>
  <c r="H114" i="1"/>
  <c r="G114" i="1"/>
  <c r="F114" i="1"/>
  <c r="E114" i="1"/>
  <c r="D114" i="1"/>
  <c r="C114" i="1"/>
  <c r="B114" i="1"/>
  <c r="I113" i="1"/>
  <c r="H113" i="1"/>
  <c r="G113" i="1"/>
  <c r="F113" i="1"/>
  <c r="E113" i="1"/>
  <c r="D113" i="1"/>
  <c r="C113" i="1"/>
  <c r="B113" i="1"/>
  <c r="I112" i="1"/>
  <c r="H112" i="1"/>
  <c r="G112" i="1"/>
  <c r="F112" i="1"/>
  <c r="E112" i="1"/>
  <c r="D112" i="1"/>
  <c r="C112" i="1"/>
  <c r="B112" i="1"/>
  <c r="I111" i="1"/>
  <c r="H111" i="1"/>
  <c r="G111" i="1"/>
  <c r="F111" i="1"/>
  <c r="E111" i="1"/>
  <c r="D111" i="1"/>
  <c r="C111" i="1"/>
  <c r="B111" i="1"/>
  <c r="I110" i="1"/>
  <c r="H110" i="1"/>
  <c r="G110" i="1"/>
  <c r="F110" i="1"/>
  <c r="E110" i="1"/>
  <c r="D110" i="1"/>
  <c r="C110" i="1"/>
  <c r="B110" i="1"/>
  <c r="I109" i="1"/>
  <c r="H109" i="1"/>
  <c r="G109" i="1"/>
  <c r="F109" i="1"/>
  <c r="E109" i="1"/>
  <c r="D109" i="1"/>
  <c r="C109" i="1"/>
  <c r="B109" i="1"/>
  <c r="I108" i="1"/>
  <c r="H108" i="1"/>
  <c r="G108" i="1"/>
  <c r="F108" i="1"/>
  <c r="E108" i="1"/>
  <c r="D108" i="1"/>
  <c r="C108" i="1"/>
  <c r="B108" i="1"/>
  <c r="I107" i="1"/>
  <c r="H107" i="1"/>
  <c r="G107" i="1"/>
  <c r="F107" i="1"/>
  <c r="E107" i="1"/>
  <c r="D107" i="1"/>
  <c r="C107" i="1"/>
  <c r="B107" i="1"/>
  <c r="I106" i="1"/>
  <c r="H106" i="1"/>
  <c r="G106" i="1"/>
  <c r="F106" i="1"/>
  <c r="E106" i="1"/>
  <c r="D106" i="1"/>
  <c r="C106" i="1"/>
  <c r="B106" i="1"/>
  <c r="I105" i="1"/>
  <c r="H105" i="1"/>
  <c r="G105" i="1"/>
  <c r="F105" i="1"/>
  <c r="E105" i="1"/>
  <c r="D105" i="1"/>
  <c r="C105" i="1"/>
  <c r="B105" i="1"/>
  <c r="I104" i="1"/>
  <c r="H104" i="1"/>
  <c r="G104" i="1"/>
  <c r="E104" i="1"/>
  <c r="D104" i="1"/>
  <c r="C104" i="1"/>
  <c r="B104" i="1"/>
  <c r="I103" i="1"/>
  <c r="H103" i="1"/>
  <c r="G103" i="1"/>
  <c r="E103" i="1"/>
  <c r="D103" i="1"/>
  <c r="C103" i="1"/>
  <c r="B103" i="1"/>
  <c r="I102" i="1"/>
  <c r="H102" i="1"/>
  <c r="G102" i="1"/>
  <c r="F102" i="1"/>
  <c r="E102" i="1"/>
  <c r="D102" i="1"/>
  <c r="C102" i="1"/>
  <c r="B102" i="1"/>
  <c r="I101" i="1"/>
  <c r="H101" i="1"/>
  <c r="G101" i="1"/>
  <c r="E101" i="1"/>
  <c r="D101" i="1"/>
  <c r="C101" i="1"/>
  <c r="B101" i="1"/>
  <c r="I100" i="1"/>
  <c r="H100" i="1"/>
  <c r="G100" i="1"/>
  <c r="F100" i="1"/>
  <c r="E100" i="1"/>
  <c r="D100" i="1"/>
  <c r="C100" i="1"/>
  <c r="B100" i="1"/>
  <c r="I99" i="1"/>
  <c r="H99" i="1"/>
  <c r="G99" i="1"/>
  <c r="E99" i="1"/>
  <c r="D99" i="1"/>
  <c r="C99" i="1"/>
  <c r="B99" i="1"/>
  <c r="I98" i="1"/>
  <c r="H98" i="1"/>
  <c r="G98" i="1"/>
  <c r="F98" i="1"/>
  <c r="E98" i="1"/>
  <c r="D98" i="1"/>
  <c r="C98" i="1"/>
  <c r="B98" i="1"/>
  <c r="I97" i="1"/>
  <c r="H97" i="1"/>
  <c r="G97" i="1"/>
  <c r="F97" i="1"/>
  <c r="E97" i="1"/>
  <c r="D97" i="1"/>
  <c r="C97" i="1"/>
  <c r="B97" i="1"/>
  <c r="I96" i="1"/>
  <c r="H96" i="1"/>
  <c r="G96" i="1"/>
  <c r="F96" i="1"/>
  <c r="E96" i="1"/>
  <c r="D96" i="1"/>
  <c r="C96" i="1"/>
  <c r="B96" i="1"/>
  <c r="I95" i="1"/>
  <c r="H95" i="1"/>
  <c r="G95" i="1"/>
  <c r="E95" i="1"/>
  <c r="D95" i="1"/>
  <c r="C95" i="1"/>
  <c r="B95" i="1"/>
  <c r="I94" i="1"/>
  <c r="H94" i="1"/>
  <c r="G94" i="1"/>
  <c r="F94" i="1"/>
  <c r="E94" i="1"/>
  <c r="D94" i="1"/>
  <c r="C94" i="1"/>
  <c r="B94" i="1"/>
  <c r="I93" i="1"/>
  <c r="H93" i="1"/>
  <c r="G93" i="1"/>
  <c r="E93" i="1"/>
  <c r="D93" i="1"/>
  <c r="C93" i="1"/>
  <c r="B93" i="1"/>
  <c r="I92" i="1"/>
  <c r="H92" i="1"/>
  <c r="G92" i="1"/>
  <c r="E92" i="1"/>
  <c r="D92" i="1"/>
  <c r="C92" i="1"/>
  <c r="B92" i="1"/>
  <c r="I91" i="1"/>
  <c r="H91" i="1"/>
  <c r="G91" i="1"/>
  <c r="E91" i="1"/>
  <c r="D91" i="1"/>
  <c r="C91" i="1"/>
  <c r="B91" i="1"/>
  <c r="I90" i="1"/>
  <c r="H90" i="1"/>
  <c r="G90" i="1"/>
  <c r="E90" i="1"/>
  <c r="D90" i="1"/>
  <c r="C90" i="1"/>
  <c r="B90" i="1"/>
  <c r="I89" i="1"/>
  <c r="H89" i="1"/>
  <c r="G89" i="1"/>
  <c r="E89" i="1"/>
  <c r="D89" i="1"/>
  <c r="C89" i="1"/>
  <c r="B89" i="1"/>
  <c r="I88" i="1"/>
  <c r="H88" i="1"/>
  <c r="G88" i="1"/>
  <c r="E88" i="1"/>
  <c r="D88" i="1"/>
  <c r="C88" i="1"/>
  <c r="B88" i="1"/>
  <c r="I87" i="1"/>
  <c r="H87" i="1"/>
  <c r="G87" i="1"/>
  <c r="E87" i="1"/>
  <c r="D87" i="1"/>
  <c r="C87" i="1"/>
  <c r="B87" i="1"/>
  <c r="I86" i="1"/>
  <c r="H86" i="1"/>
  <c r="G86" i="1"/>
  <c r="F86" i="1"/>
  <c r="E86" i="1"/>
  <c r="D86" i="1"/>
  <c r="C86" i="1"/>
  <c r="B86" i="1"/>
  <c r="I85" i="1"/>
  <c r="H85" i="1"/>
  <c r="G85" i="1"/>
  <c r="F85" i="1"/>
  <c r="E85" i="1"/>
  <c r="D85" i="1"/>
  <c r="C85" i="1"/>
  <c r="B85" i="1"/>
  <c r="I84" i="1"/>
  <c r="H84" i="1"/>
  <c r="G84" i="1"/>
  <c r="F84" i="1"/>
  <c r="E84" i="1"/>
  <c r="D84" i="1"/>
  <c r="C84" i="1"/>
  <c r="B84" i="1"/>
  <c r="I83" i="1"/>
  <c r="H83" i="1"/>
  <c r="G83" i="1"/>
  <c r="F83" i="1"/>
  <c r="E83" i="1"/>
  <c r="D83" i="1"/>
  <c r="C83" i="1"/>
  <c r="B83" i="1"/>
  <c r="I82" i="1"/>
  <c r="H82" i="1"/>
  <c r="G82" i="1"/>
  <c r="F82" i="1"/>
  <c r="E82" i="1"/>
  <c r="D82" i="1"/>
  <c r="C82" i="1"/>
  <c r="B82" i="1"/>
  <c r="I81" i="1"/>
  <c r="H81" i="1"/>
  <c r="G81" i="1"/>
  <c r="F81" i="1"/>
  <c r="E81" i="1"/>
  <c r="D81" i="1"/>
  <c r="C81" i="1"/>
  <c r="B81" i="1"/>
  <c r="I80" i="1"/>
  <c r="H80" i="1"/>
  <c r="G80" i="1"/>
  <c r="F80" i="1"/>
  <c r="E80" i="1"/>
  <c r="D80" i="1"/>
  <c r="C80" i="1"/>
  <c r="B80" i="1"/>
  <c r="I79" i="1"/>
  <c r="H79" i="1"/>
  <c r="G79" i="1"/>
  <c r="F79" i="1"/>
  <c r="E79" i="1"/>
  <c r="D79" i="1"/>
  <c r="C79" i="1"/>
  <c r="B79" i="1"/>
  <c r="I78" i="1"/>
  <c r="H78" i="1"/>
  <c r="G78" i="1"/>
  <c r="F78" i="1"/>
  <c r="E78" i="1"/>
  <c r="D78" i="1"/>
  <c r="C78" i="1"/>
  <c r="B78" i="1"/>
  <c r="I77" i="1"/>
  <c r="H77" i="1"/>
  <c r="G77" i="1"/>
  <c r="F77" i="1"/>
  <c r="E77" i="1"/>
  <c r="D77" i="1"/>
  <c r="C77" i="1"/>
  <c r="B77" i="1"/>
  <c r="I76" i="1"/>
  <c r="H76" i="1"/>
  <c r="G76" i="1"/>
  <c r="F76" i="1"/>
  <c r="E76" i="1"/>
  <c r="D76" i="1"/>
  <c r="C76" i="1"/>
  <c r="B76" i="1"/>
  <c r="I75" i="1"/>
  <c r="H75" i="1"/>
  <c r="G75" i="1"/>
  <c r="F75" i="1"/>
  <c r="E75" i="1"/>
  <c r="D75" i="1"/>
  <c r="C75" i="1"/>
  <c r="B75" i="1"/>
  <c r="I74" i="1"/>
  <c r="H74" i="1"/>
  <c r="G74" i="1"/>
  <c r="F74" i="1"/>
  <c r="E74" i="1"/>
  <c r="D74" i="1"/>
  <c r="C74" i="1"/>
  <c r="B74" i="1"/>
  <c r="I73" i="1"/>
  <c r="H73" i="1"/>
  <c r="G73" i="1"/>
  <c r="F73" i="1"/>
  <c r="E73" i="1"/>
  <c r="D73" i="1"/>
  <c r="C73" i="1"/>
  <c r="B73" i="1"/>
  <c r="I72" i="1"/>
  <c r="H72" i="1"/>
  <c r="G72" i="1"/>
  <c r="F72" i="1"/>
  <c r="E72" i="1"/>
  <c r="D72" i="1"/>
  <c r="C72" i="1"/>
  <c r="B72" i="1"/>
  <c r="I71" i="1"/>
  <c r="H71" i="1"/>
  <c r="G71" i="1"/>
  <c r="F71" i="1"/>
  <c r="E71" i="1"/>
  <c r="D71" i="1"/>
  <c r="C71" i="1"/>
  <c r="B71" i="1"/>
  <c r="I70" i="1"/>
  <c r="H70" i="1"/>
  <c r="G70" i="1"/>
  <c r="F70" i="1"/>
  <c r="E70" i="1"/>
  <c r="D70" i="1"/>
  <c r="C70" i="1"/>
  <c r="B70" i="1"/>
  <c r="I69" i="1"/>
  <c r="H69" i="1"/>
  <c r="G69" i="1"/>
  <c r="F69" i="1"/>
  <c r="E69" i="1"/>
  <c r="D69" i="1"/>
  <c r="C69" i="1"/>
  <c r="B69" i="1"/>
  <c r="I68" i="1"/>
  <c r="H68" i="1"/>
  <c r="G68" i="1"/>
  <c r="F68" i="1"/>
  <c r="E68" i="1"/>
  <c r="D68" i="1"/>
  <c r="C68" i="1"/>
  <c r="B68" i="1"/>
  <c r="I67" i="1"/>
  <c r="H67" i="1"/>
  <c r="G67" i="1"/>
  <c r="F67" i="1"/>
  <c r="E67" i="1"/>
  <c r="D67" i="1"/>
  <c r="C67" i="1"/>
  <c r="B67" i="1"/>
  <c r="I66" i="1"/>
  <c r="H66" i="1"/>
  <c r="G66" i="1"/>
  <c r="F66" i="1"/>
  <c r="E66" i="1"/>
  <c r="D66" i="1"/>
  <c r="C66" i="1"/>
  <c r="B66" i="1"/>
  <c r="I65" i="1"/>
  <c r="H65" i="1"/>
  <c r="G65" i="1"/>
  <c r="E65" i="1"/>
  <c r="D65" i="1"/>
  <c r="C65" i="1"/>
  <c r="B65" i="1"/>
  <c r="I64" i="1"/>
  <c r="H64" i="1"/>
  <c r="G64" i="1"/>
  <c r="F64" i="1"/>
  <c r="E64" i="1"/>
  <c r="D64" i="1"/>
  <c r="C64" i="1"/>
  <c r="B64" i="1"/>
  <c r="I63" i="1"/>
  <c r="H63" i="1"/>
  <c r="G63" i="1"/>
  <c r="F63" i="1"/>
  <c r="E63" i="1"/>
  <c r="D63" i="1"/>
  <c r="C63" i="1"/>
  <c r="B63" i="1"/>
  <c r="I62" i="1"/>
  <c r="H62" i="1"/>
  <c r="G62" i="1"/>
  <c r="F62" i="1"/>
  <c r="E62" i="1"/>
  <c r="D62" i="1"/>
  <c r="C62" i="1"/>
  <c r="B62" i="1"/>
  <c r="I61" i="1"/>
  <c r="H61" i="1"/>
  <c r="G61" i="1"/>
  <c r="F61" i="1"/>
  <c r="E61" i="1"/>
  <c r="D61" i="1"/>
  <c r="C61" i="1"/>
  <c r="B61" i="1"/>
  <c r="I60" i="1"/>
  <c r="H60" i="1"/>
  <c r="G60" i="1"/>
  <c r="F60" i="1"/>
  <c r="E60" i="1"/>
  <c r="D60" i="1"/>
  <c r="C60" i="1"/>
  <c r="B60" i="1"/>
  <c r="I59" i="1"/>
  <c r="H59" i="1"/>
  <c r="G59" i="1"/>
  <c r="F59" i="1"/>
  <c r="E59" i="1"/>
  <c r="D59" i="1"/>
  <c r="C59" i="1"/>
  <c r="B59" i="1"/>
  <c r="I58" i="1"/>
  <c r="H58" i="1"/>
  <c r="G58" i="1"/>
  <c r="E58" i="1"/>
  <c r="D58" i="1"/>
  <c r="C58" i="1"/>
  <c r="B58" i="1"/>
  <c r="I57" i="1"/>
  <c r="H57" i="1"/>
  <c r="G57" i="1"/>
  <c r="F57" i="1"/>
  <c r="E57" i="1"/>
  <c r="D57" i="1"/>
  <c r="C57" i="1"/>
  <c r="B57" i="1"/>
  <c r="I56" i="1"/>
  <c r="H56" i="1"/>
  <c r="G56" i="1"/>
  <c r="E56" i="1"/>
  <c r="D56" i="1"/>
  <c r="C56" i="1"/>
  <c r="B56" i="1"/>
  <c r="I55" i="1"/>
  <c r="H55" i="1"/>
  <c r="G55" i="1"/>
  <c r="F55" i="1"/>
  <c r="E55" i="1"/>
  <c r="D55" i="1"/>
  <c r="C55" i="1"/>
  <c r="B55" i="1"/>
  <c r="I54" i="1"/>
  <c r="H54" i="1"/>
  <c r="G54" i="1"/>
  <c r="F54" i="1"/>
  <c r="E54" i="1"/>
  <c r="D54" i="1"/>
  <c r="C54" i="1"/>
  <c r="B54" i="1"/>
  <c r="I53" i="1"/>
  <c r="H53" i="1"/>
  <c r="G53" i="1"/>
  <c r="F53" i="1"/>
  <c r="E53" i="1"/>
  <c r="D53" i="1"/>
  <c r="C53" i="1"/>
  <c r="B53" i="1"/>
  <c r="I52" i="1"/>
  <c r="H52" i="1"/>
  <c r="G52" i="1"/>
  <c r="F52" i="1"/>
  <c r="E52" i="1"/>
  <c r="D52" i="1"/>
  <c r="C52" i="1"/>
  <c r="B52" i="1"/>
  <c r="I51" i="1"/>
  <c r="H51" i="1"/>
  <c r="G51" i="1"/>
  <c r="F51" i="1"/>
  <c r="E51" i="1"/>
  <c r="D51" i="1"/>
  <c r="C51" i="1"/>
  <c r="B51" i="1"/>
  <c r="I50" i="1"/>
  <c r="H50" i="1"/>
  <c r="G50" i="1"/>
  <c r="F50" i="1"/>
  <c r="E50" i="1"/>
  <c r="D50" i="1"/>
  <c r="C50" i="1"/>
  <c r="B50" i="1"/>
  <c r="I49" i="1"/>
  <c r="H49" i="1"/>
  <c r="G49" i="1"/>
  <c r="F49" i="1"/>
  <c r="E49" i="1"/>
  <c r="D49" i="1"/>
  <c r="C49" i="1"/>
  <c r="B49" i="1"/>
  <c r="I48" i="1"/>
  <c r="H48" i="1"/>
  <c r="G48" i="1"/>
  <c r="F48" i="1"/>
  <c r="E48" i="1"/>
  <c r="D48" i="1"/>
  <c r="C48" i="1"/>
  <c r="B48" i="1"/>
  <c r="I47" i="1"/>
  <c r="H47" i="1"/>
  <c r="G47" i="1"/>
  <c r="F47" i="1"/>
  <c r="E47" i="1"/>
  <c r="D47" i="1"/>
  <c r="C47" i="1"/>
  <c r="B47" i="1"/>
  <c r="I46" i="1"/>
  <c r="H46" i="1"/>
  <c r="G46" i="1"/>
  <c r="F46" i="1"/>
  <c r="E46" i="1"/>
  <c r="D46" i="1"/>
  <c r="C46" i="1"/>
  <c r="B46" i="1"/>
  <c r="I45" i="1"/>
  <c r="H45" i="1"/>
  <c r="G45" i="1"/>
  <c r="F45" i="1"/>
  <c r="E45" i="1"/>
  <c r="D45" i="1"/>
  <c r="C45" i="1"/>
  <c r="B45" i="1"/>
  <c r="I44" i="1"/>
  <c r="H44" i="1"/>
  <c r="G44" i="1"/>
  <c r="F44" i="1"/>
  <c r="E44" i="1"/>
  <c r="D44" i="1"/>
  <c r="C44" i="1"/>
  <c r="B44" i="1"/>
  <c r="I43" i="1"/>
  <c r="H43" i="1"/>
  <c r="G43" i="1"/>
  <c r="F43" i="1"/>
  <c r="E43" i="1"/>
  <c r="D43" i="1"/>
  <c r="C43" i="1"/>
  <c r="B43" i="1"/>
  <c r="I42" i="1"/>
  <c r="H42" i="1"/>
  <c r="G42" i="1"/>
  <c r="F42" i="1"/>
  <c r="E42" i="1"/>
  <c r="D42" i="1"/>
  <c r="C42" i="1"/>
  <c r="B42" i="1"/>
  <c r="I41" i="1"/>
  <c r="H41" i="1"/>
  <c r="G41" i="1"/>
  <c r="F41" i="1"/>
  <c r="E41" i="1"/>
  <c r="D41" i="1"/>
  <c r="C41" i="1"/>
  <c r="B41" i="1"/>
  <c r="I40" i="1"/>
  <c r="H40" i="1"/>
  <c r="G40" i="1"/>
  <c r="F40" i="1"/>
  <c r="E40" i="1"/>
  <c r="D40" i="1"/>
  <c r="C40" i="1"/>
  <c r="B40" i="1"/>
  <c r="I39" i="1"/>
  <c r="H39" i="1"/>
  <c r="G39" i="1"/>
  <c r="F39" i="1"/>
  <c r="E39" i="1"/>
  <c r="D39" i="1"/>
  <c r="C39" i="1"/>
  <c r="B39" i="1"/>
  <c r="I38" i="1"/>
  <c r="H38" i="1"/>
  <c r="G38" i="1"/>
  <c r="F38" i="1"/>
  <c r="E38" i="1"/>
  <c r="D38" i="1"/>
  <c r="C38" i="1"/>
  <c r="B38" i="1"/>
  <c r="I37" i="1"/>
  <c r="H37" i="1"/>
  <c r="G37" i="1"/>
  <c r="F37" i="1"/>
  <c r="E37" i="1"/>
  <c r="D37" i="1"/>
  <c r="C37" i="1"/>
  <c r="B37" i="1"/>
  <c r="I36" i="1"/>
  <c r="H36" i="1"/>
  <c r="G36" i="1"/>
  <c r="F36" i="1"/>
  <c r="E36" i="1"/>
  <c r="D36" i="1"/>
  <c r="C36" i="1"/>
  <c r="B36" i="1"/>
  <c r="I35" i="1"/>
  <c r="H35" i="1"/>
  <c r="G35" i="1"/>
  <c r="F35" i="1"/>
  <c r="E35" i="1"/>
  <c r="D35" i="1"/>
  <c r="C35" i="1"/>
  <c r="B35" i="1"/>
  <c r="I34" i="1"/>
  <c r="H34" i="1"/>
  <c r="G34" i="1"/>
  <c r="F34" i="1"/>
  <c r="E34" i="1"/>
  <c r="D34" i="1"/>
  <c r="C34" i="1"/>
  <c r="B34" i="1"/>
  <c r="I33" i="1"/>
  <c r="H33" i="1"/>
  <c r="G33" i="1"/>
  <c r="F33" i="1"/>
  <c r="E33" i="1"/>
  <c r="D33" i="1"/>
  <c r="C33" i="1"/>
  <c r="B33" i="1"/>
  <c r="I32" i="1"/>
  <c r="H32" i="1"/>
  <c r="G32" i="1"/>
  <c r="F32" i="1"/>
  <c r="E32" i="1"/>
  <c r="D32" i="1"/>
  <c r="C32" i="1"/>
  <c r="B32" i="1"/>
  <c r="I31" i="1"/>
  <c r="H31" i="1"/>
  <c r="G31" i="1"/>
  <c r="F31" i="1"/>
  <c r="E31" i="1"/>
  <c r="D31" i="1"/>
  <c r="C31" i="1"/>
  <c r="B31" i="1"/>
  <c r="I30" i="1"/>
  <c r="H30" i="1"/>
  <c r="G30" i="1"/>
  <c r="F30" i="1"/>
  <c r="E30" i="1"/>
  <c r="D30" i="1"/>
  <c r="C30" i="1"/>
  <c r="B30" i="1"/>
  <c r="I29" i="1"/>
  <c r="H29" i="1"/>
  <c r="G29" i="1"/>
  <c r="F29" i="1"/>
  <c r="E29" i="1"/>
  <c r="D29" i="1"/>
  <c r="C29" i="1"/>
  <c r="B29" i="1"/>
  <c r="I28" i="1"/>
  <c r="H28" i="1"/>
  <c r="G28" i="1"/>
  <c r="F28" i="1"/>
  <c r="E28" i="1"/>
  <c r="D28" i="1"/>
  <c r="C28" i="1"/>
  <c r="B28" i="1"/>
  <c r="I27" i="1"/>
  <c r="H27" i="1"/>
  <c r="G27" i="1"/>
  <c r="F27" i="1"/>
  <c r="E27" i="1"/>
  <c r="D27" i="1"/>
  <c r="C27" i="1"/>
  <c r="B27" i="1"/>
  <c r="I26" i="1"/>
  <c r="H26" i="1"/>
  <c r="G26" i="1"/>
  <c r="F26" i="1"/>
  <c r="E26" i="1"/>
  <c r="D26" i="1"/>
  <c r="C26" i="1"/>
  <c r="B26" i="1"/>
  <c r="I25" i="1"/>
  <c r="H25" i="1"/>
  <c r="G25" i="1"/>
  <c r="F25" i="1"/>
  <c r="E25" i="1"/>
  <c r="D25" i="1"/>
  <c r="C25" i="1"/>
  <c r="B25" i="1"/>
  <c r="I24" i="1"/>
  <c r="H24" i="1"/>
  <c r="G24" i="1"/>
  <c r="F24" i="1"/>
  <c r="E24" i="1"/>
  <c r="D24" i="1"/>
  <c r="C24" i="1"/>
  <c r="B24" i="1"/>
  <c r="I23" i="1"/>
  <c r="H23" i="1"/>
  <c r="G23" i="1"/>
  <c r="F23" i="1"/>
  <c r="E23" i="1"/>
  <c r="D23" i="1"/>
  <c r="C23" i="1"/>
  <c r="B23" i="1"/>
  <c r="I22" i="1"/>
  <c r="H22" i="1"/>
  <c r="G22" i="1"/>
  <c r="F22" i="1"/>
  <c r="E22" i="1"/>
  <c r="D22" i="1"/>
  <c r="C22" i="1"/>
  <c r="B22" i="1"/>
  <c r="I21" i="1"/>
  <c r="H21" i="1"/>
  <c r="G21" i="1"/>
  <c r="F21" i="1"/>
  <c r="E21" i="1"/>
  <c r="D21" i="1"/>
  <c r="C21" i="1"/>
  <c r="B21" i="1"/>
  <c r="I20" i="1"/>
  <c r="H20" i="1"/>
  <c r="G20" i="1"/>
  <c r="F20" i="1"/>
  <c r="E20" i="1"/>
  <c r="D20" i="1"/>
  <c r="C20" i="1"/>
  <c r="B20" i="1"/>
  <c r="I19" i="1"/>
  <c r="H19" i="1"/>
  <c r="G19" i="1"/>
  <c r="F19" i="1"/>
  <c r="E19" i="1"/>
  <c r="D19" i="1"/>
  <c r="C19" i="1"/>
  <c r="B19" i="1"/>
  <c r="I18" i="1"/>
  <c r="H18" i="1"/>
  <c r="G18" i="1"/>
  <c r="F18" i="1"/>
  <c r="E18" i="1"/>
  <c r="D18" i="1"/>
  <c r="C18" i="1"/>
  <c r="B18" i="1"/>
  <c r="I17" i="1"/>
  <c r="H17" i="1"/>
  <c r="G17" i="1"/>
  <c r="F17" i="1"/>
  <c r="E17" i="1"/>
  <c r="D17" i="1"/>
  <c r="C17" i="1"/>
  <c r="B17" i="1"/>
  <c r="I16" i="1"/>
  <c r="H16" i="1"/>
  <c r="G16" i="1"/>
  <c r="F16" i="1"/>
  <c r="E16" i="1"/>
  <c r="D16" i="1"/>
  <c r="C16" i="1"/>
  <c r="B16" i="1"/>
  <c r="I15" i="1"/>
  <c r="H15" i="1"/>
  <c r="G15" i="1"/>
  <c r="F15" i="1"/>
  <c r="E15" i="1"/>
  <c r="D15" i="1"/>
  <c r="C15" i="1"/>
  <c r="B15" i="1"/>
  <c r="I14" i="1"/>
  <c r="H14" i="1"/>
  <c r="G14" i="1"/>
  <c r="F14" i="1"/>
  <c r="E14" i="1"/>
  <c r="D14" i="1"/>
  <c r="C14" i="1"/>
  <c r="B14" i="1"/>
  <c r="I13" i="1"/>
  <c r="H13" i="1"/>
  <c r="G13" i="1"/>
  <c r="F13" i="1"/>
  <c r="E13" i="1"/>
  <c r="D13" i="1"/>
  <c r="C13" i="1"/>
  <c r="B13" i="1"/>
  <c r="I12" i="1"/>
  <c r="H12" i="1"/>
  <c r="G12" i="1"/>
  <c r="F12" i="1"/>
  <c r="E12" i="1"/>
  <c r="D12" i="1"/>
  <c r="C12" i="1"/>
  <c r="B12" i="1"/>
  <c r="I11" i="1"/>
  <c r="H11" i="1"/>
  <c r="G11" i="1"/>
  <c r="F11" i="1"/>
  <c r="E11" i="1"/>
  <c r="D11" i="1"/>
  <c r="C11" i="1"/>
  <c r="B11" i="1"/>
  <c r="I10" i="1"/>
  <c r="H10" i="1"/>
  <c r="G10" i="1"/>
  <c r="F10" i="1"/>
  <c r="E10" i="1"/>
  <c r="D10" i="1"/>
  <c r="C10" i="1"/>
  <c r="B10" i="1"/>
  <c r="I9" i="1"/>
  <c r="H9" i="1"/>
  <c r="G9" i="1"/>
  <c r="E9" i="1"/>
  <c r="D9" i="1"/>
  <c r="C9" i="1"/>
  <c r="B9" i="1"/>
  <c r="I8" i="1"/>
  <c r="H8" i="1"/>
  <c r="G8" i="1"/>
  <c r="E8" i="1"/>
  <c r="D8" i="1"/>
  <c r="C8" i="1"/>
  <c r="B8" i="1"/>
  <c r="I7" i="1"/>
  <c r="H7" i="1"/>
  <c r="G7" i="1"/>
  <c r="F7" i="1"/>
  <c r="E7" i="1"/>
  <c r="D7" i="1"/>
  <c r="C7" i="1"/>
  <c r="B7" i="1"/>
  <c r="I6" i="1"/>
  <c r="H6" i="1"/>
  <c r="G6" i="1"/>
  <c r="F6" i="1"/>
  <c r="E6" i="1"/>
  <c r="D6" i="1"/>
  <c r="C6" i="1"/>
  <c r="B6" i="1"/>
  <c r="I5" i="1"/>
  <c r="H5" i="1"/>
  <c r="G5" i="1"/>
  <c r="E5" i="1"/>
  <c r="D5" i="1"/>
  <c r="C5" i="1"/>
  <c r="B5" i="1"/>
  <c r="I4" i="1"/>
  <c r="H4" i="1"/>
  <c r="G4" i="1"/>
  <c r="F4" i="1"/>
  <c r="E4" i="1"/>
  <c r="D4" i="1"/>
  <c r="C4" i="1"/>
  <c r="B4" i="1"/>
  <c r="I3" i="1"/>
  <c r="H3" i="1"/>
  <c r="G3" i="1"/>
  <c r="F3" i="1"/>
  <c r="E3" i="1"/>
  <c r="D3" i="1"/>
  <c r="C3" i="1"/>
  <c r="B3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<sst xmlns="http://schemas.openxmlformats.org/spreadsheetml/2006/main" count="173" uniqueCount="15">
  <si>
    <t>N°</t>
  </si>
  <si>
    <t>Departamento</t>
  </si>
  <si>
    <t>Provincia</t>
  </si>
  <si>
    <t>Distrito</t>
  </si>
  <si>
    <t>Sector</t>
  </si>
  <si>
    <t>Paquete</t>
  </si>
  <si>
    <t>Km</t>
  </si>
  <si>
    <t>Ben</t>
  </si>
  <si>
    <t>Ha</t>
  </si>
  <si>
    <t>Estado</t>
  </si>
  <si>
    <t>CONTRADO</t>
  </si>
  <si>
    <t>EN EJECUCION</t>
  </si>
  <si>
    <t>EN CONTRATACION</t>
  </si>
  <si>
    <t>DESESTIMADA</t>
  </si>
  <si>
    <t>CULMINADO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</si>
</sst>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" x14ac:knownFonts="1"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43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43" fontId="0" fillId="0" borderId="2" xfId="0" applyNumberFormat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4D57435B773036B/AGRO/EXCEL_CONSOLIDADO_536_PARA%20MIDAGRI%2015.10.2026%20V.06.xlsx" TargetMode="External"/><Relationship Id="rId1" Type="http://schemas.openxmlformats.org/officeDocument/2006/relationships/externalLinkPath" Target="https://d.docs.live.net/74D57435B773036B/AGRO/EXCEL_CONSOLIDADO_536_PARA%20MIDAGRI%2015.10.2026%20V.0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carol/Downloads/EXCEL_CONSOLIDADO_559_PARA%20MIDAGRI%2013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_FINAL"/>
      <sheetName val="PRESUPUE"/>
      <sheetName val="Hoja4"/>
      <sheetName val="Hoja6"/>
      <sheetName val="RES"/>
      <sheetName val="RESUMEN II"/>
      <sheetName val="Hoja8"/>
      <sheetName val="LIMA"/>
      <sheetName val="CONSOLIDADO RF"/>
      <sheetName val="EXCEL MANUEL"/>
      <sheetName val="Hoja10"/>
      <sheetName val="A NO EJECUTAR"/>
      <sheetName val="Nuevas Metas"/>
      <sheetName val="Hoja5"/>
      <sheetName val="CONSOLIDADO"/>
      <sheetName val="CONSOLID"/>
      <sheetName val="POI"/>
      <sheetName val="POI 2"/>
      <sheetName val="Hoja12"/>
      <sheetName val="DESCRIPCION"/>
      <sheetName val="Hoja9"/>
      <sheetName val="Hoja7"/>
      <sheetName val="ETIQUETAS"/>
      <sheetName val="RELACION FTR 2026"/>
      <sheetName val="Hoja1"/>
      <sheetName val="PRESUPUESTO"/>
      <sheetName val="Hoja2"/>
      <sheetName val="Hoja2 (2)"/>
      <sheetName val="MAPA PER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J6" t="str">
            <v>Piura</v>
          </cell>
          <cell r="K6" t="str">
            <v>Huancabamba</v>
          </cell>
          <cell r="L6" t="str">
            <v>Huarmaca</v>
          </cell>
          <cell r="N6" t="str">
            <v>Chignia Alta</v>
          </cell>
          <cell r="AX6" t="str">
            <v>PIURA PQ 2</v>
          </cell>
          <cell r="BL6">
            <v>0.91400000000000003</v>
          </cell>
          <cell r="BO6">
            <v>271</v>
          </cell>
          <cell r="BQ6">
            <v>130</v>
          </cell>
        </row>
        <row r="7">
          <cell r="J7" t="str">
            <v>Piura</v>
          </cell>
          <cell r="K7" t="str">
            <v>Huancabamba</v>
          </cell>
          <cell r="L7" t="str">
            <v>Huarmaca</v>
          </cell>
          <cell r="N7" t="str">
            <v>Chignia Baja</v>
          </cell>
          <cell r="AX7" t="str">
            <v>PIURA PQ 2</v>
          </cell>
          <cell r="BL7">
            <v>0.6</v>
          </cell>
          <cell r="BO7">
            <v>161</v>
          </cell>
          <cell r="BQ7">
            <v>38</v>
          </cell>
        </row>
        <row r="8">
          <cell r="J8" t="str">
            <v>Piura</v>
          </cell>
          <cell r="K8" t="str">
            <v>Huancabamba</v>
          </cell>
          <cell r="L8" t="str">
            <v>San Miguel del Faique</v>
          </cell>
          <cell r="N8" t="str">
            <v>Las Huacas</v>
          </cell>
          <cell r="AX8" t="str">
            <v>PIURA PQ 2</v>
          </cell>
          <cell r="BL8">
            <v>0.85</v>
          </cell>
          <cell r="BO8">
            <v>265</v>
          </cell>
          <cell r="BQ8">
            <v>35</v>
          </cell>
        </row>
        <row r="9">
          <cell r="J9" t="str">
            <v>La Libertad</v>
          </cell>
          <cell r="K9" t="str">
            <v>Virú</v>
          </cell>
          <cell r="L9" t="str">
            <v>Chao</v>
          </cell>
          <cell r="N9" t="str">
            <v>Seminario 2-Tanguche</v>
          </cell>
          <cell r="BL9">
            <v>0.65</v>
          </cell>
          <cell r="BO9">
            <v>15</v>
          </cell>
          <cell r="BQ9">
            <v>20</v>
          </cell>
        </row>
        <row r="10">
          <cell r="J10" t="str">
            <v>La Libertad</v>
          </cell>
          <cell r="K10" t="str">
            <v>Virú</v>
          </cell>
          <cell r="L10" t="str">
            <v>Chao</v>
          </cell>
          <cell r="N10" t="str">
            <v>Toma de Captación Ponte</v>
          </cell>
          <cell r="AX10" t="str">
            <v>LA LIBERTAD PQ 1</v>
          </cell>
          <cell r="BL10">
            <v>0.498</v>
          </cell>
          <cell r="BO10">
            <v>20</v>
          </cell>
          <cell r="BQ10">
            <v>20</v>
          </cell>
        </row>
        <row r="11">
          <cell r="J11" t="str">
            <v>La Libertad</v>
          </cell>
          <cell r="K11" t="str">
            <v>Virú</v>
          </cell>
          <cell r="L11" t="str">
            <v>Chao</v>
          </cell>
          <cell r="N11" t="str">
            <v>Captación Tanguche</v>
          </cell>
          <cell r="AX11" t="str">
            <v>LA LIBERTAD PQ 1</v>
          </cell>
          <cell r="BL11">
            <v>0.502</v>
          </cell>
          <cell r="BO11">
            <v>15</v>
          </cell>
          <cell r="BQ11">
            <v>500</v>
          </cell>
        </row>
        <row r="12">
          <cell r="J12" t="str">
            <v>La Libertad</v>
          </cell>
          <cell r="K12" t="str">
            <v>Virú</v>
          </cell>
          <cell r="L12" t="str">
            <v>Chao</v>
          </cell>
          <cell r="N12" t="str">
            <v>Pantano 2 El Carmen Tanguche</v>
          </cell>
          <cell r="BL12">
            <v>1.3</v>
          </cell>
          <cell r="BO12">
            <v>25</v>
          </cell>
          <cell r="BQ12">
            <v>35</v>
          </cell>
        </row>
        <row r="13">
          <cell r="J13" t="str">
            <v>La Libertad</v>
          </cell>
          <cell r="K13" t="str">
            <v>Virú</v>
          </cell>
          <cell r="L13" t="str">
            <v>Chao</v>
          </cell>
          <cell r="N13" t="str">
            <v>Seminario 1-Tanguche</v>
          </cell>
          <cell r="BL13">
            <v>0.54</v>
          </cell>
          <cell r="BO13">
            <v>20</v>
          </cell>
          <cell r="BQ13">
            <v>20</v>
          </cell>
        </row>
        <row r="14">
          <cell r="J14" t="str">
            <v>La Libertad</v>
          </cell>
          <cell r="K14" t="str">
            <v>Sanchez Carrión</v>
          </cell>
          <cell r="L14" t="str">
            <v>Huamachuco</v>
          </cell>
          <cell r="N14" t="str">
            <v>San Salvador</v>
          </cell>
          <cell r="AX14" t="str">
            <v>LA LIBERTAD PQ 3</v>
          </cell>
          <cell r="BL14">
            <v>0.77600000000000002</v>
          </cell>
          <cell r="BO14">
            <v>50</v>
          </cell>
          <cell r="BQ14">
            <v>5</v>
          </cell>
        </row>
        <row r="15">
          <cell r="J15" t="str">
            <v>La Libertad</v>
          </cell>
          <cell r="K15" t="str">
            <v>Sanchez Carrión</v>
          </cell>
          <cell r="L15" t="str">
            <v>Huamachuco</v>
          </cell>
          <cell r="N15" t="str">
            <v>La Polvora</v>
          </cell>
          <cell r="AX15" t="str">
            <v>LA LIBERTAD PQ 3</v>
          </cell>
          <cell r="BL15">
            <v>0.51800000000000002</v>
          </cell>
          <cell r="BO15">
            <v>595</v>
          </cell>
          <cell r="BQ15">
            <v>0.99</v>
          </cell>
        </row>
        <row r="16">
          <cell r="J16" t="str">
            <v>La Libertad</v>
          </cell>
          <cell r="K16" t="str">
            <v>Sanchez Carrión</v>
          </cell>
          <cell r="L16" t="str">
            <v>Huamachuco</v>
          </cell>
          <cell r="N16" t="str">
            <v>Coipin</v>
          </cell>
          <cell r="AX16" t="str">
            <v>LA LIBERTAD PQ 3</v>
          </cell>
          <cell r="BL16">
            <v>5.7000000000000002E-2</v>
          </cell>
          <cell r="BO16">
            <v>85</v>
          </cell>
          <cell r="BQ16">
            <v>0</v>
          </cell>
        </row>
        <row r="17">
          <cell r="J17" t="str">
            <v>La Libertad</v>
          </cell>
          <cell r="K17" t="str">
            <v>Sanchez Carrión</v>
          </cell>
          <cell r="L17" t="str">
            <v>Huamachuco</v>
          </cell>
          <cell r="N17" t="str">
            <v>Tucupina</v>
          </cell>
          <cell r="AX17" t="str">
            <v>LA LIBERTAD PQ 3</v>
          </cell>
          <cell r="BL17">
            <v>0.49399999999999999</v>
          </cell>
          <cell r="BO17">
            <v>460</v>
          </cell>
          <cell r="BQ17">
            <v>0.56000000000000005</v>
          </cell>
        </row>
        <row r="18">
          <cell r="J18" t="str">
            <v>La Libertad</v>
          </cell>
          <cell r="K18" t="str">
            <v>Sanchez Carrión</v>
          </cell>
          <cell r="L18" t="str">
            <v>Sanagoran</v>
          </cell>
          <cell r="N18" t="str">
            <v>Sanagoran</v>
          </cell>
          <cell r="AX18" t="str">
            <v>LA LIBERTAD PQ 3</v>
          </cell>
          <cell r="BL18">
            <v>0.42899999999999999</v>
          </cell>
          <cell r="BO18">
            <v>405</v>
          </cell>
          <cell r="BQ18">
            <v>0.5</v>
          </cell>
        </row>
        <row r="19">
          <cell r="J19" t="str">
            <v>La Libertad</v>
          </cell>
          <cell r="K19" t="str">
            <v>Sanchez Carrión</v>
          </cell>
          <cell r="L19" t="str">
            <v>Huamachuco</v>
          </cell>
          <cell r="N19" t="str">
            <v>El Pallar</v>
          </cell>
          <cell r="AX19" t="str">
            <v>LA LIBERTAD PQ 3</v>
          </cell>
          <cell r="BL19">
            <v>0.38100000000000001</v>
          </cell>
          <cell r="BO19">
            <v>80</v>
          </cell>
          <cell r="BQ19">
            <v>2</v>
          </cell>
        </row>
        <row r="20">
          <cell r="J20" t="str">
            <v>La Libertad</v>
          </cell>
          <cell r="K20" t="str">
            <v>Sanchez Carrión</v>
          </cell>
          <cell r="L20" t="str">
            <v>Sanagoran</v>
          </cell>
          <cell r="N20" t="str">
            <v>Vilcas</v>
          </cell>
          <cell r="AX20" t="str">
            <v>LA LIBERTAD PQ 3</v>
          </cell>
          <cell r="BL20">
            <v>0.60499999999999998</v>
          </cell>
          <cell r="BO20">
            <v>130</v>
          </cell>
          <cell r="BQ20">
            <v>21.8</v>
          </cell>
        </row>
        <row r="21">
          <cell r="J21" t="str">
            <v>La Libertad</v>
          </cell>
          <cell r="K21" t="str">
            <v>Sanchez Carrión</v>
          </cell>
          <cell r="L21" t="str">
            <v>Huamachuco</v>
          </cell>
          <cell r="N21" t="str">
            <v>Candopata</v>
          </cell>
          <cell r="AX21" t="str">
            <v>LA LIBERTAD PQ 3</v>
          </cell>
          <cell r="BL21">
            <v>1.1319999999999999</v>
          </cell>
          <cell r="BO21">
            <v>960</v>
          </cell>
          <cell r="BQ21">
            <v>0</v>
          </cell>
        </row>
        <row r="22">
          <cell r="J22" t="str">
            <v>La Libertad</v>
          </cell>
          <cell r="K22" t="str">
            <v>Pataz</v>
          </cell>
          <cell r="L22" t="str">
            <v>Pataz</v>
          </cell>
          <cell r="N22" t="str">
            <v>Vijus</v>
          </cell>
          <cell r="AX22" t="str">
            <v>LA LIBERTAD PQ 3</v>
          </cell>
          <cell r="BL22">
            <v>3.0640000000000001</v>
          </cell>
          <cell r="BO22">
            <v>1200</v>
          </cell>
          <cell r="BQ22">
            <v>5</v>
          </cell>
        </row>
        <row r="23">
          <cell r="J23" t="str">
            <v>La Libertad</v>
          </cell>
          <cell r="K23" t="str">
            <v>Santiago de Chuco</v>
          </cell>
          <cell r="L23" t="str">
            <v>Sitabamba</v>
          </cell>
          <cell r="N23" t="str">
            <v>Sitabamba</v>
          </cell>
          <cell r="AX23" t="str">
            <v>LA LIBERTAD PQ 3</v>
          </cell>
          <cell r="BL23">
            <v>0.46899999999999997</v>
          </cell>
          <cell r="BO23">
            <v>60</v>
          </cell>
          <cell r="BQ23">
            <v>2</v>
          </cell>
        </row>
        <row r="24">
          <cell r="J24" t="str">
            <v>La Libertad</v>
          </cell>
          <cell r="K24" t="str">
            <v>Virú</v>
          </cell>
          <cell r="L24" t="str">
            <v>Chao</v>
          </cell>
          <cell r="N24" t="str">
            <v>Seminario Las Torres</v>
          </cell>
          <cell r="AX24" t="str">
            <v>LA LIBERTAD PQ 1</v>
          </cell>
          <cell r="BL24">
            <v>0.60699999999999998</v>
          </cell>
          <cell r="BO24">
            <v>15</v>
          </cell>
          <cell r="BQ24">
            <v>25</v>
          </cell>
        </row>
        <row r="25">
          <cell r="J25" t="str">
            <v>La Libertad</v>
          </cell>
          <cell r="K25" t="str">
            <v>Sanchez Carrión</v>
          </cell>
          <cell r="L25" t="str">
            <v>Cochorco</v>
          </cell>
          <cell r="N25" t="str">
            <v>La Viña</v>
          </cell>
          <cell r="AX25" t="str">
            <v>LA LIBERTAD PQ 3</v>
          </cell>
          <cell r="BL25">
            <v>0.80600000000000005</v>
          </cell>
          <cell r="BO25">
            <v>280</v>
          </cell>
          <cell r="BQ25">
            <v>35</v>
          </cell>
        </row>
        <row r="26">
          <cell r="J26" t="str">
            <v>La Libertad</v>
          </cell>
          <cell r="K26" t="str">
            <v>Sanchez Carrión</v>
          </cell>
          <cell r="L26" t="str">
            <v>Cochorco</v>
          </cell>
          <cell r="N26" t="str">
            <v>Corrales</v>
          </cell>
          <cell r="AX26" t="str">
            <v>LA LIBERTAD PQ 3</v>
          </cell>
          <cell r="BL26">
            <v>0.85899999999999999</v>
          </cell>
          <cell r="BO26">
            <v>240</v>
          </cell>
          <cell r="BQ26">
            <v>35</v>
          </cell>
        </row>
        <row r="27">
          <cell r="J27" t="str">
            <v>Ancash</v>
          </cell>
          <cell r="K27" t="str">
            <v>Sihuas</v>
          </cell>
          <cell r="L27" t="str">
            <v>Sihuas</v>
          </cell>
          <cell r="N27" t="str">
            <v>Huáscar</v>
          </cell>
          <cell r="AX27" t="str">
            <v>ANCASH PQ 2</v>
          </cell>
          <cell r="BL27">
            <v>0.317</v>
          </cell>
          <cell r="BO27">
            <v>200</v>
          </cell>
          <cell r="BQ27">
            <v>0.25</v>
          </cell>
        </row>
        <row r="28">
          <cell r="J28" t="str">
            <v>Ancash</v>
          </cell>
          <cell r="K28" t="str">
            <v>Pomabamba</v>
          </cell>
          <cell r="L28" t="str">
            <v>Parobamba</v>
          </cell>
          <cell r="N28" t="str">
            <v>Parobamba</v>
          </cell>
          <cell r="AX28" t="str">
            <v>ANCASH PQ 1</v>
          </cell>
          <cell r="BL28">
            <v>0.93799999999999994</v>
          </cell>
          <cell r="BO28">
            <v>135</v>
          </cell>
          <cell r="BQ28">
            <v>35</v>
          </cell>
        </row>
        <row r="29">
          <cell r="J29" t="str">
            <v>Ancash</v>
          </cell>
          <cell r="K29" t="str">
            <v>Mariscal Luzuriaga</v>
          </cell>
          <cell r="L29" t="str">
            <v xml:space="preserve">Lucma </v>
          </cell>
          <cell r="N29" t="str">
            <v xml:space="preserve">Charac </v>
          </cell>
          <cell r="AX29" t="str">
            <v>ANCASH PQ 2</v>
          </cell>
          <cell r="BL29">
            <v>0.36845</v>
          </cell>
          <cell r="BO29">
            <v>400</v>
          </cell>
          <cell r="BQ29">
            <v>6</v>
          </cell>
        </row>
        <row r="30">
          <cell r="J30" t="str">
            <v>Ancash</v>
          </cell>
          <cell r="K30" t="str">
            <v>Mariscal Luzuriaga</v>
          </cell>
          <cell r="L30" t="str">
            <v xml:space="preserve">Lucma </v>
          </cell>
          <cell r="N30" t="str">
            <v>Masqui</v>
          </cell>
          <cell r="AX30" t="str">
            <v>ANCASH PQ 2</v>
          </cell>
          <cell r="BL30">
            <v>1.1167100000000001</v>
          </cell>
          <cell r="BO30">
            <v>1200</v>
          </cell>
          <cell r="BQ30">
            <v>18</v>
          </cell>
        </row>
        <row r="31">
          <cell r="J31" t="str">
            <v>Ancash</v>
          </cell>
          <cell r="K31" t="str">
            <v>Mariscal Luzuriaga</v>
          </cell>
          <cell r="L31" t="str">
            <v xml:space="preserve">Lucma </v>
          </cell>
          <cell r="N31" t="str">
            <v>Quishuar</v>
          </cell>
          <cell r="AX31" t="str">
            <v>ANCASH PQ 2</v>
          </cell>
          <cell r="BL31">
            <v>0.2203</v>
          </cell>
          <cell r="BO31">
            <v>12</v>
          </cell>
          <cell r="BQ31">
            <v>0</v>
          </cell>
        </row>
        <row r="32">
          <cell r="J32" t="str">
            <v>Ancash</v>
          </cell>
          <cell r="K32" t="str">
            <v>Sihuas</v>
          </cell>
          <cell r="L32" t="str">
            <v>Sihuas</v>
          </cell>
          <cell r="N32" t="str">
            <v>Lucerito-Chirimoyo</v>
          </cell>
          <cell r="AX32" t="str">
            <v>ANCASH PQ 2</v>
          </cell>
          <cell r="BL32">
            <v>0.88</v>
          </cell>
          <cell r="BO32">
            <v>250</v>
          </cell>
          <cell r="BQ32">
            <v>25</v>
          </cell>
        </row>
        <row r="33">
          <cell r="J33" t="str">
            <v>Ancash</v>
          </cell>
          <cell r="K33" t="str">
            <v>Sihuas</v>
          </cell>
          <cell r="L33" t="str">
            <v>Sihuas</v>
          </cell>
          <cell r="N33" t="str">
            <v>Mitobamba</v>
          </cell>
          <cell r="AX33" t="str">
            <v>ANCASH PQ 2</v>
          </cell>
          <cell r="BL33">
            <v>1.6739999999999999</v>
          </cell>
          <cell r="BO33">
            <v>50</v>
          </cell>
          <cell r="BQ33">
            <v>0</v>
          </cell>
        </row>
        <row r="34">
          <cell r="J34" t="str">
            <v>Ancash</v>
          </cell>
          <cell r="K34" t="str">
            <v>Pomabamba</v>
          </cell>
          <cell r="L34" t="str">
            <v>Pomabamba</v>
          </cell>
          <cell r="N34" t="str">
            <v>Geusha-Angascancha</v>
          </cell>
          <cell r="AX34" t="str">
            <v>ANCASH PQ 1</v>
          </cell>
          <cell r="BL34">
            <v>5.9189999999999996</v>
          </cell>
          <cell r="BO34">
            <v>320</v>
          </cell>
          <cell r="BQ34">
            <v>25</v>
          </cell>
        </row>
        <row r="35">
          <cell r="J35" t="str">
            <v>Ancash</v>
          </cell>
          <cell r="K35" t="str">
            <v>Pomabamba</v>
          </cell>
          <cell r="L35" t="str">
            <v>Pomabamba</v>
          </cell>
          <cell r="N35" t="str">
            <v>Parco</v>
          </cell>
          <cell r="AX35" t="str">
            <v>ANCASH PQ 1</v>
          </cell>
          <cell r="BL35">
            <v>0.35599999999999998</v>
          </cell>
          <cell r="BO35">
            <v>240</v>
          </cell>
          <cell r="BQ35">
            <v>60</v>
          </cell>
        </row>
        <row r="36">
          <cell r="J36" t="str">
            <v>Ancash</v>
          </cell>
          <cell r="K36" t="str">
            <v>Pomabamba</v>
          </cell>
          <cell r="L36" t="str">
            <v>Pomabamba</v>
          </cell>
          <cell r="N36" t="str">
            <v>Jancapampa</v>
          </cell>
          <cell r="AX36" t="str">
            <v>ANCASH PQ 1</v>
          </cell>
          <cell r="BL36">
            <v>0.77200000000000002</v>
          </cell>
          <cell r="BO36">
            <v>200</v>
          </cell>
          <cell r="BQ36">
            <v>50</v>
          </cell>
        </row>
        <row r="37">
          <cell r="J37" t="str">
            <v>Ancash</v>
          </cell>
          <cell r="K37" t="str">
            <v>Huari</v>
          </cell>
          <cell r="L37" t="str">
            <v>Uco</v>
          </cell>
          <cell r="N37" t="str">
            <v>Tarapampa</v>
          </cell>
          <cell r="AX37" t="str">
            <v>ANCASH PQ 2</v>
          </cell>
          <cell r="BL37">
            <v>0.2</v>
          </cell>
          <cell r="BO37">
            <v>0</v>
          </cell>
          <cell r="BQ37">
            <v>4</v>
          </cell>
        </row>
        <row r="38">
          <cell r="J38" t="str">
            <v>Ancash</v>
          </cell>
          <cell r="K38" t="str">
            <v>Bolognesi</v>
          </cell>
          <cell r="L38" t="str">
            <v>Huasta</v>
          </cell>
          <cell r="N38" t="str">
            <v>San Isidro</v>
          </cell>
          <cell r="AX38" t="str">
            <v>ANCASH PQ 1</v>
          </cell>
          <cell r="BL38">
            <v>0.24399999999999999</v>
          </cell>
          <cell r="BO38">
            <v>305</v>
          </cell>
          <cell r="BQ38">
            <v>0</v>
          </cell>
        </row>
        <row r="39">
          <cell r="J39" t="str">
            <v>Lima</v>
          </cell>
          <cell r="K39" t="str">
            <v>Huarochiri</v>
          </cell>
          <cell r="L39" t="str">
            <v>Huachupampa</v>
          </cell>
          <cell r="N39" t="str">
            <v>Autisha</v>
          </cell>
          <cell r="AX39" t="str">
            <v>LIMA PQ 5</v>
          </cell>
          <cell r="BL39">
            <v>1</v>
          </cell>
          <cell r="BO39">
            <v>12</v>
          </cell>
          <cell r="BQ39">
            <v>45</v>
          </cell>
        </row>
        <row r="40">
          <cell r="J40" t="str">
            <v>Lima</v>
          </cell>
          <cell r="K40" t="str">
            <v>Huarochiri</v>
          </cell>
          <cell r="L40" t="str">
            <v>Huachupampa</v>
          </cell>
          <cell r="N40" t="str">
            <v>Pongo</v>
          </cell>
          <cell r="AX40" t="str">
            <v>LIMA PQ 5</v>
          </cell>
          <cell r="BL40">
            <v>0.61</v>
          </cell>
          <cell r="BO40">
            <v>25</v>
          </cell>
          <cell r="BQ40">
            <v>20</v>
          </cell>
        </row>
        <row r="41">
          <cell r="J41" t="str">
            <v>Lima</v>
          </cell>
          <cell r="K41" t="str">
            <v>Huaral</v>
          </cell>
          <cell r="L41" t="str">
            <v>Atavillos Bajo</v>
          </cell>
          <cell r="N41" t="str">
            <v>Rampe II</v>
          </cell>
          <cell r="AX41" t="str">
            <v>LIMA PQ 4</v>
          </cell>
          <cell r="BL41">
            <v>0.1</v>
          </cell>
          <cell r="BO41">
            <v>160</v>
          </cell>
          <cell r="BQ41">
            <v>2</v>
          </cell>
        </row>
        <row r="42">
          <cell r="J42" t="str">
            <v>Lima</v>
          </cell>
          <cell r="K42" t="str">
            <v>Huaral</v>
          </cell>
          <cell r="L42" t="str">
            <v>Atavillos Bajo</v>
          </cell>
          <cell r="N42" t="str">
            <v>Huayopampa</v>
          </cell>
          <cell r="AX42" t="str">
            <v>LIMA PQ 4</v>
          </cell>
          <cell r="BL42">
            <v>0.15</v>
          </cell>
          <cell r="BO42">
            <v>156</v>
          </cell>
          <cell r="BQ42">
            <v>1.5</v>
          </cell>
        </row>
        <row r="43">
          <cell r="J43" t="str">
            <v>Lima</v>
          </cell>
          <cell r="K43" t="str">
            <v>Huaral</v>
          </cell>
          <cell r="L43" t="str">
            <v>Atavillos Bajo</v>
          </cell>
          <cell r="N43" t="str">
            <v>Cutopuquio-La Perla</v>
          </cell>
          <cell r="AX43" t="str">
            <v>LIMA PQ 4</v>
          </cell>
          <cell r="BL43">
            <v>0.22</v>
          </cell>
          <cell r="BO43">
            <v>66</v>
          </cell>
          <cell r="BQ43">
            <v>1.4</v>
          </cell>
        </row>
        <row r="44">
          <cell r="J44" t="str">
            <v>Lima</v>
          </cell>
          <cell r="K44" t="str">
            <v>Huaral</v>
          </cell>
          <cell r="L44" t="str">
            <v>Atavillos Bajo</v>
          </cell>
          <cell r="N44" t="str">
            <v>Pichiquillin-La Perla</v>
          </cell>
          <cell r="AX44" t="str">
            <v>LIMA PQ 4</v>
          </cell>
          <cell r="BL44">
            <v>0.1</v>
          </cell>
          <cell r="BO44">
            <v>81</v>
          </cell>
          <cell r="BQ44">
            <v>7</v>
          </cell>
        </row>
        <row r="45">
          <cell r="J45" t="str">
            <v>Lima</v>
          </cell>
          <cell r="K45" t="str">
            <v>Huaral</v>
          </cell>
          <cell r="L45" t="str">
            <v>Sumbilca</v>
          </cell>
          <cell r="N45" t="str">
            <v>Puente La Perla</v>
          </cell>
          <cell r="AX45" t="str">
            <v>LIMA PQ 4</v>
          </cell>
          <cell r="BL45">
            <v>0.34</v>
          </cell>
          <cell r="BO45">
            <v>66</v>
          </cell>
          <cell r="BQ45">
            <v>1.4</v>
          </cell>
        </row>
        <row r="46">
          <cell r="J46" t="str">
            <v>Lima</v>
          </cell>
          <cell r="K46" t="str">
            <v>Huaral</v>
          </cell>
          <cell r="L46" t="str">
            <v>Sumbilca</v>
          </cell>
          <cell r="N46" t="str">
            <v>Inquirhuay-Cucapunco</v>
          </cell>
          <cell r="AX46" t="str">
            <v>LIMA PQ 7</v>
          </cell>
          <cell r="BL46">
            <v>0.2</v>
          </cell>
          <cell r="BO46">
            <v>0</v>
          </cell>
          <cell r="BQ46">
            <v>10.199999999999999</v>
          </cell>
        </row>
        <row r="47">
          <cell r="J47" t="str">
            <v>Lima</v>
          </cell>
          <cell r="K47" t="str">
            <v>Huaral</v>
          </cell>
          <cell r="L47" t="str">
            <v>Sumbilca</v>
          </cell>
          <cell r="N47" t="str">
            <v>Jillichuy-Cucapunco</v>
          </cell>
          <cell r="AX47" t="str">
            <v>LIMA PQ 7</v>
          </cell>
          <cell r="BL47">
            <v>0.32</v>
          </cell>
          <cell r="BO47">
            <v>0</v>
          </cell>
          <cell r="BQ47">
            <v>0</v>
          </cell>
        </row>
        <row r="48">
          <cell r="J48" t="str">
            <v>Lima</v>
          </cell>
          <cell r="K48" t="str">
            <v>Huaral</v>
          </cell>
          <cell r="L48" t="str">
            <v>San Miguel De Acos</v>
          </cell>
          <cell r="N48" t="str">
            <v>Puente Oquendo</v>
          </cell>
          <cell r="AX48" t="str">
            <v>LIMA PQ 4</v>
          </cell>
          <cell r="BL48">
            <v>1.18</v>
          </cell>
          <cell r="BO48">
            <v>320</v>
          </cell>
          <cell r="BQ48">
            <v>24</v>
          </cell>
        </row>
        <row r="49">
          <cell r="J49" t="str">
            <v>Lima</v>
          </cell>
          <cell r="K49" t="str">
            <v>Huaral</v>
          </cell>
          <cell r="L49" t="str">
            <v>San Miguel De Acos</v>
          </cell>
          <cell r="N49" t="str">
            <v>Puente Acos-Río Chancay Huaral</v>
          </cell>
          <cell r="AX49" t="str">
            <v>LIMA PQ 4</v>
          </cell>
          <cell r="BL49">
            <v>0.36</v>
          </cell>
          <cell r="BO49">
            <v>5</v>
          </cell>
          <cell r="BQ49">
            <v>3.6</v>
          </cell>
        </row>
        <row r="50">
          <cell r="J50" t="str">
            <v>Lima</v>
          </cell>
          <cell r="K50" t="str">
            <v>Huaral</v>
          </cell>
          <cell r="L50" t="str">
            <v>Sumbilca</v>
          </cell>
          <cell r="N50" t="str">
            <v>Cucapunco-Margen izquierda</v>
          </cell>
          <cell r="AX50" t="str">
            <v>LIMA PQ 4</v>
          </cell>
          <cell r="BL50">
            <v>0.37</v>
          </cell>
          <cell r="BO50">
            <v>201</v>
          </cell>
          <cell r="BQ50">
            <v>0</v>
          </cell>
        </row>
        <row r="51">
          <cell r="J51" t="str">
            <v>Lima</v>
          </cell>
          <cell r="K51" t="str">
            <v>Huaral</v>
          </cell>
          <cell r="L51" t="str">
            <v>Sumbilca</v>
          </cell>
          <cell r="N51" t="str">
            <v>Huaranguito</v>
          </cell>
          <cell r="AX51" t="str">
            <v>LIMA PQ 4</v>
          </cell>
          <cell r="BL51">
            <v>0.06</v>
          </cell>
          <cell r="BO51">
            <v>0</v>
          </cell>
          <cell r="BQ51">
            <v>0.8</v>
          </cell>
        </row>
        <row r="52">
          <cell r="J52" t="str">
            <v>Lima</v>
          </cell>
          <cell r="K52" t="str">
            <v>Huaral</v>
          </cell>
          <cell r="L52" t="str">
            <v>Sumbilca</v>
          </cell>
          <cell r="N52" t="str">
            <v>Cucapunco</v>
          </cell>
          <cell r="AX52" t="str">
            <v>LIMA PQ 7</v>
          </cell>
          <cell r="BL52">
            <v>4.4999999999999998E-2</v>
          </cell>
          <cell r="BQ52">
            <v>10.199999999999999</v>
          </cell>
        </row>
        <row r="53">
          <cell r="J53" t="str">
            <v>Lima</v>
          </cell>
          <cell r="K53" t="str">
            <v>Huaral</v>
          </cell>
          <cell r="L53" t="str">
            <v>Aucallama</v>
          </cell>
          <cell r="N53" t="str">
            <v>Rompetoldo-Pacaybamba</v>
          </cell>
          <cell r="AX53" t="str">
            <v>LIMA PQ 6</v>
          </cell>
          <cell r="BL53">
            <v>0.38</v>
          </cell>
          <cell r="BO53">
            <v>4</v>
          </cell>
          <cell r="BQ53">
            <v>156</v>
          </cell>
        </row>
        <row r="54">
          <cell r="J54" t="str">
            <v>Lima</v>
          </cell>
          <cell r="K54" t="str">
            <v>Huaral</v>
          </cell>
          <cell r="L54" t="str">
            <v>Sumbilca</v>
          </cell>
          <cell r="N54" t="str">
            <v>Cerro Burro Alancho</v>
          </cell>
          <cell r="AX54" t="str">
            <v>LIMA PQ 4</v>
          </cell>
          <cell r="BL54">
            <v>4.5999999999999999E-2</v>
          </cell>
          <cell r="BO54">
            <v>0</v>
          </cell>
          <cell r="BQ54">
            <v>4.7</v>
          </cell>
        </row>
        <row r="55">
          <cell r="J55" t="str">
            <v>Lima</v>
          </cell>
          <cell r="K55" t="str">
            <v>Huaral</v>
          </cell>
          <cell r="L55" t="str">
            <v>San Miguel De Acos</v>
          </cell>
          <cell r="N55" t="str">
            <v>Llerhuanca San José</v>
          </cell>
          <cell r="AX55" t="str">
            <v>LIMA PQ 4</v>
          </cell>
          <cell r="BL55">
            <v>4.4999999999999998E-2</v>
          </cell>
          <cell r="BO55">
            <v>0</v>
          </cell>
          <cell r="BQ55">
            <v>0.73</v>
          </cell>
        </row>
        <row r="56">
          <cell r="J56" t="str">
            <v>Lima</v>
          </cell>
          <cell r="K56" t="str">
            <v>Huaral</v>
          </cell>
          <cell r="L56" t="str">
            <v>Sumbilca</v>
          </cell>
          <cell r="N56" t="str">
            <v>Picay</v>
          </cell>
          <cell r="AX56" t="str">
            <v>LIMA PQ 4</v>
          </cell>
          <cell r="BL56">
            <v>0.38</v>
          </cell>
          <cell r="BO56">
            <v>0</v>
          </cell>
          <cell r="BQ56">
            <v>35</v>
          </cell>
        </row>
        <row r="57">
          <cell r="J57" t="str">
            <v>Lima</v>
          </cell>
          <cell r="K57" t="str">
            <v>Huaral</v>
          </cell>
          <cell r="L57" t="str">
            <v>Sumbilca</v>
          </cell>
          <cell r="N57" t="str">
            <v>Huayo Ingenio</v>
          </cell>
          <cell r="AX57" t="str">
            <v>LIMA PQ 4</v>
          </cell>
          <cell r="BL57">
            <v>0.25</v>
          </cell>
          <cell r="BO57">
            <v>7</v>
          </cell>
          <cell r="BQ57">
            <v>2</v>
          </cell>
        </row>
        <row r="58">
          <cell r="J58" t="str">
            <v>Lima</v>
          </cell>
          <cell r="K58" t="str">
            <v>Huaral</v>
          </cell>
          <cell r="L58" t="str">
            <v>Sumbilca</v>
          </cell>
          <cell r="N58" t="str">
            <v>Tarayo</v>
          </cell>
          <cell r="AX58" t="str">
            <v>LIMA PQ 4</v>
          </cell>
          <cell r="BL58">
            <v>0.02</v>
          </cell>
          <cell r="BO58">
            <v>3</v>
          </cell>
          <cell r="BQ58">
            <v>20</v>
          </cell>
        </row>
        <row r="59">
          <cell r="J59" t="str">
            <v>Lima</v>
          </cell>
          <cell r="K59" t="str">
            <v>Cajatambo</v>
          </cell>
          <cell r="L59" t="str">
            <v>Manas</v>
          </cell>
          <cell r="N59" t="str">
            <v>Caya</v>
          </cell>
          <cell r="AX59" t="str">
            <v>LIMA PQ 3</v>
          </cell>
          <cell r="BL59">
            <v>1.64</v>
          </cell>
          <cell r="BO59">
            <v>0</v>
          </cell>
          <cell r="BQ59">
            <v>24</v>
          </cell>
        </row>
        <row r="60">
          <cell r="J60" t="str">
            <v>Lima</v>
          </cell>
          <cell r="K60" t="str">
            <v>Cajatambo</v>
          </cell>
          <cell r="L60" t="str">
            <v>Manas</v>
          </cell>
          <cell r="N60" t="str">
            <v>Pucan 2</v>
          </cell>
          <cell r="BL60">
            <v>2.1999999999999999E-2</v>
          </cell>
          <cell r="BO60" t="str">
            <v>-</v>
          </cell>
          <cell r="BQ60">
            <v>10</v>
          </cell>
        </row>
        <row r="61">
          <cell r="J61" t="str">
            <v>Arequipa</v>
          </cell>
          <cell r="K61" t="str">
            <v>Arequipa</v>
          </cell>
          <cell r="L61" t="str">
            <v>Arequipa</v>
          </cell>
          <cell r="N61" t="str">
            <v>Tingo</v>
          </cell>
          <cell r="AX61" t="str">
            <v>AREQUIPA PQ 2</v>
          </cell>
          <cell r="BL61">
            <v>0.4</v>
          </cell>
          <cell r="BO61">
            <v>96</v>
          </cell>
          <cell r="BQ61">
            <v>0</v>
          </cell>
        </row>
        <row r="62">
          <cell r="J62" t="str">
            <v>Arequipa</v>
          </cell>
          <cell r="K62" t="str">
            <v>Arequipa</v>
          </cell>
          <cell r="L62" t="str">
            <v>Arequipa</v>
          </cell>
          <cell r="N62" t="str">
            <v>Club de Abogados</v>
          </cell>
          <cell r="BL62">
            <v>0.15</v>
          </cell>
          <cell r="BO62">
            <v>240</v>
          </cell>
          <cell r="BQ62">
            <v>2.5</v>
          </cell>
        </row>
        <row r="63">
          <cell r="J63" t="str">
            <v>Lima</v>
          </cell>
          <cell r="K63" t="str">
            <v>Yauyos</v>
          </cell>
          <cell r="L63" t="str">
            <v>Allauca</v>
          </cell>
          <cell r="N63" t="str">
            <v>Km 89 Carretera Yauyos</v>
          </cell>
          <cell r="AX63" t="str">
            <v>LIMA PQ 5</v>
          </cell>
          <cell r="BL63">
            <v>1</v>
          </cell>
          <cell r="BO63">
            <v>100</v>
          </cell>
          <cell r="BQ63">
            <v>25</v>
          </cell>
        </row>
        <row r="64">
          <cell r="J64" t="str">
            <v>Lima</v>
          </cell>
          <cell r="K64" t="str">
            <v>Huarochiri</v>
          </cell>
          <cell r="L64" t="str">
            <v>San Mateo</v>
          </cell>
          <cell r="N64" t="str">
            <v>Tambo de Viso</v>
          </cell>
          <cell r="AX64" t="str">
            <v>LIMA PQ 5</v>
          </cell>
          <cell r="BL64">
            <v>0.4</v>
          </cell>
          <cell r="BO64">
            <v>0</v>
          </cell>
          <cell r="BQ64">
            <v>0</v>
          </cell>
        </row>
        <row r="65">
          <cell r="J65" t="str">
            <v>Lima</v>
          </cell>
          <cell r="K65" t="str">
            <v>Oyon</v>
          </cell>
          <cell r="L65" t="str">
            <v>Oyon</v>
          </cell>
          <cell r="N65" t="str">
            <v>Quichas</v>
          </cell>
          <cell r="AX65" t="str">
            <v>LIMA PQ 3</v>
          </cell>
          <cell r="BL65">
            <v>0.74</v>
          </cell>
          <cell r="BO65">
            <v>360</v>
          </cell>
          <cell r="BQ65">
            <v>0</v>
          </cell>
        </row>
        <row r="66">
          <cell r="J66" t="str">
            <v>Lima</v>
          </cell>
          <cell r="K66" t="str">
            <v>Oyon</v>
          </cell>
          <cell r="L66" t="str">
            <v>Oyon</v>
          </cell>
          <cell r="N66" t="str">
            <v>Chuñupampa</v>
          </cell>
          <cell r="AX66" t="str">
            <v>LIMA PQ 3</v>
          </cell>
          <cell r="BL66">
            <v>0.746</v>
          </cell>
          <cell r="BO66">
            <v>240</v>
          </cell>
          <cell r="BQ66">
            <v>0</v>
          </cell>
        </row>
        <row r="67">
          <cell r="J67" t="str">
            <v>Arequipa</v>
          </cell>
          <cell r="K67" t="str">
            <v>Arequipa</v>
          </cell>
          <cell r="L67" t="str">
            <v>Socabaya</v>
          </cell>
          <cell r="N67" t="str">
            <v>Cinco Ramos</v>
          </cell>
          <cell r="AX67" t="str">
            <v>AREQUIPA PQ 4</v>
          </cell>
          <cell r="BL67">
            <v>0.5</v>
          </cell>
          <cell r="BO67">
            <v>30</v>
          </cell>
          <cell r="BQ67">
            <v>5.12</v>
          </cell>
        </row>
        <row r="68">
          <cell r="J68" t="str">
            <v>Arequipa</v>
          </cell>
          <cell r="K68" t="str">
            <v>Arequipa</v>
          </cell>
          <cell r="L68" t="str">
            <v>Socabaya</v>
          </cell>
          <cell r="N68" t="str">
            <v>El Medio y Molino</v>
          </cell>
          <cell r="AX68" t="str">
            <v>AREQUIPA PQ 4</v>
          </cell>
          <cell r="BL68">
            <v>0.98</v>
          </cell>
          <cell r="BO68">
            <v>45</v>
          </cell>
          <cell r="BQ68">
            <v>7.73</v>
          </cell>
        </row>
        <row r="69">
          <cell r="J69" t="str">
            <v>Arequipa</v>
          </cell>
          <cell r="K69" t="str">
            <v>Arequipa</v>
          </cell>
          <cell r="L69" t="str">
            <v>Arequipa</v>
          </cell>
          <cell r="N69" t="str">
            <v>Chichas y la Polvora</v>
          </cell>
          <cell r="BL69">
            <v>0.21</v>
          </cell>
          <cell r="BO69">
            <v>94</v>
          </cell>
          <cell r="BQ69">
            <v>99.04</v>
          </cell>
        </row>
        <row r="70">
          <cell r="J70" t="str">
            <v>Piura</v>
          </cell>
          <cell r="K70" t="str">
            <v>Ayabaca</v>
          </cell>
          <cell r="L70" t="str">
            <v>Suyo</v>
          </cell>
          <cell r="N70" t="str">
            <v>Santa Rosa</v>
          </cell>
          <cell r="AX70" t="str">
            <v>PIURA PQ 1</v>
          </cell>
          <cell r="BL70">
            <v>1.35</v>
          </cell>
          <cell r="BO70">
            <v>0</v>
          </cell>
          <cell r="BQ70">
            <v>35</v>
          </cell>
        </row>
        <row r="71">
          <cell r="J71" t="str">
            <v>Piura</v>
          </cell>
          <cell r="K71" t="str">
            <v>Ayabaca</v>
          </cell>
          <cell r="L71" t="str">
            <v>Paimas</v>
          </cell>
          <cell r="N71" t="str">
            <v>Algodonal</v>
          </cell>
          <cell r="AX71" t="str">
            <v>PIURA PQ 1</v>
          </cell>
          <cell r="BL71">
            <v>0.56999999999999995</v>
          </cell>
          <cell r="BO71">
            <v>60</v>
          </cell>
          <cell r="BQ71">
            <v>18</v>
          </cell>
        </row>
        <row r="72">
          <cell r="J72" t="str">
            <v>La Libertad</v>
          </cell>
          <cell r="K72" t="str">
            <v>Viru</v>
          </cell>
          <cell r="L72" t="str">
            <v>Chao</v>
          </cell>
          <cell r="N72" t="str">
            <v>San Jorge Alto y Palotal</v>
          </cell>
          <cell r="AX72" t="str">
            <v>LA LIBERTAD PQ 4</v>
          </cell>
          <cell r="BL72">
            <v>3.0419999999999998</v>
          </cell>
          <cell r="BO72">
            <v>116</v>
          </cell>
          <cell r="BQ72">
            <v>185.52</v>
          </cell>
        </row>
        <row r="73">
          <cell r="J73" t="str">
            <v>La Libertad</v>
          </cell>
          <cell r="K73" t="str">
            <v>Viru</v>
          </cell>
          <cell r="L73" t="str">
            <v>Chao</v>
          </cell>
          <cell r="N73" t="str">
            <v>Palotal y Cerro Cabras</v>
          </cell>
          <cell r="AX73" t="str">
            <v>LA LIBERTAD PQ 4</v>
          </cell>
          <cell r="BL73">
            <v>3.5110000000000001</v>
          </cell>
          <cell r="BO73">
            <v>152</v>
          </cell>
          <cell r="BQ73">
            <v>65</v>
          </cell>
        </row>
        <row r="74">
          <cell r="J74" t="str">
            <v>La Libertad</v>
          </cell>
          <cell r="K74" t="str">
            <v>Viru</v>
          </cell>
          <cell r="L74" t="str">
            <v>Chao</v>
          </cell>
          <cell r="N74" t="str">
            <v>Huasaquito</v>
          </cell>
          <cell r="AX74" t="str">
            <v>LA LIBERTAD PQ 4</v>
          </cell>
          <cell r="BL74">
            <v>3.202</v>
          </cell>
          <cell r="BO74">
            <v>600</v>
          </cell>
          <cell r="BQ74">
            <v>111.82</v>
          </cell>
        </row>
        <row r="75">
          <cell r="J75" t="str">
            <v>La Libertad</v>
          </cell>
          <cell r="K75" t="str">
            <v>Viru</v>
          </cell>
          <cell r="L75" t="str">
            <v>Chao</v>
          </cell>
          <cell r="N75" t="str">
            <v>Santa Rita Alta</v>
          </cell>
          <cell r="AX75" t="str">
            <v>LA LIBERTAD PQ 4</v>
          </cell>
          <cell r="BL75">
            <v>3.0659999999999998</v>
          </cell>
          <cell r="BO75">
            <v>800</v>
          </cell>
          <cell r="BQ75">
            <v>190</v>
          </cell>
        </row>
        <row r="76">
          <cell r="J76" t="str">
            <v>La Libertad</v>
          </cell>
          <cell r="K76" t="str">
            <v>Viru</v>
          </cell>
          <cell r="L76" t="str">
            <v>Chao</v>
          </cell>
          <cell r="N76" t="str">
            <v>Tutumo</v>
          </cell>
          <cell r="AX76" t="str">
            <v>LA LIBERTAD PQ 4</v>
          </cell>
          <cell r="BL76">
            <v>1.506</v>
          </cell>
          <cell r="BO76">
            <v>92</v>
          </cell>
          <cell r="BQ76">
            <v>85.57</v>
          </cell>
        </row>
        <row r="77">
          <cell r="J77" t="str">
            <v>La Libertad</v>
          </cell>
          <cell r="K77" t="str">
            <v>Viru</v>
          </cell>
          <cell r="L77" t="str">
            <v>Chao</v>
          </cell>
          <cell r="N77" t="str">
            <v>Santa Rita Baja y Coronado</v>
          </cell>
          <cell r="AX77" t="str">
            <v>LA LIBERTAD PQ 2</v>
          </cell>
          <cell r="BL77">
            <v>3.8740000000000001</v>
          </cell>
          <cell r="BO77">
            <v>150</v>
          </cell>
          <cell r="BQ77">
            <v>100</v>
          </cell>
        </row>
        <row r="78">
          <cell r="J78" t="str">
            <v>La Libertad</v>
          </cell>
          <cell r="K78" t="str">
            <v>Viru</v>
          </cell>
          <cell r="L78" t="str">
            <v>Chao</v>
          </cell>
          <cell r="N78" t="str">
            <v>Chao Alto y San Carlos</v>
          </cell>
          <cell r="AX78" t="str">
            <v>LA LIBERTAD PQ 2</v>
          </cell>
          <cell r="BL78">
            <v>3.5089999999999999</v>
          </cell>
          <cell r="BO78">
            <v>200</v>
          </cell>
          <cell r="BQ78">
            <v>150</v>
          </cell>
        </row>
        <row r="79">
          <cell r="J79" t="str">
            <v>La Libertad</v>
          </cell>
          <cell r="K79" t="str">
            <v>Viru</v>
          </cell>
          <cell r="L79" t="str">
            <v>Chao</v>
          </cell>
          <cell r="N79" t="str">
            <v>Pampas de Tizal</v>
          </cell>
          <cell r="AX79" t="str">
            <v>LA LIBERTAD PQ 2</v>
          </cell>
          <cell r="BL79">
            <v>2.63</v>
          </cell>
          <cell r="BO79">
            <v>240</v>
          </cell>
          <cell r="BQ79">
            <v>245</v>
          </cell>
        </row>
        <row r="80">
          <cell r="J80" t="str">
            <v>La Libertad</v>
          </cell>
          <cell r="K80" t="str">
            <v>Viru</v>
          </cell>
          <cell r="L80" t="str">
            <v>Chao</v>
          </cell>
          <cell r="N80" t="str">
            <v>Pampas de Tizal y CP Chao</v>
          </cell>
          <cell r="AX80" t="str">
            <v>LA LIBERTAD PQ 2</v>
          </cell>
          <cell r="BL80">
            <v>2.6389999999999998</v>
          </cell>
          <cell r="BO80">
            <v>240</v>
          </cell>
          <cell r="BQ80">
            <v>245</v>
          </cell>
        </row>
        <row r="81">
          <cell r="J81" t="str">
            <v>La Libertad</v>
          </cell>
          <cell r="K81" t="str">
            <v>Viru</v>
          </cell>
          <cell r="L81" t="str">
            <v>Chao</v>
          </cell>
          <cell r="N81" t="str">
            <v>CP Chao y El Inca</v>
          </cell>
          <cell r="AX81" t="str">
            <v>LA LIBERTAD PQ 2</v>
          </cell>
          <cell r="BL81">
            <v>4.4080000000000004</v>
          </cell>
          <cell r="BO81">
            <v>2400</v>
          </cell>
          <cell r="BQ81">
            <v>245</v>
          </cell>
        </row>
        <row r="82">
          <cell r="J82" t="str">
            <v>La Libertad</v>
          </cell>
          <cell r="K82" t="str">
            <v>Viru</v>
          </cell>
          <cell r="L82" t="str">
            <v>Chao</v>
          </cell>
          <cell r="N82" t="str">
            <v>El Inca y Palermo</v>
          </cell>
          <cell r="AX82" t="str">
            <v>LA LIBERTAD PQ 4</v>
          </cell>
          <cell r="BL82">
            <v>3.6659999999999999</v>
          </cell>
          <cell r="BO82">
            <v>2450</v>
          </cell>
          <cell r="BQ82">
            <v>245</v>
          </cell>
        </row>
        <row r="83">
          <cell r="J83" t="str">
            <v>La Libertad</v>
          </cell>
          <cell r="K83" t="str">
            <v>Viru</v>
          </cell>
          <cell r="L83" t="str">
            <v>Chao</v>
          </cell>
          <cell r="N83" t="str">
            <v>Palermo y San Jorge Alto</v>
          </cell>
          <cell r="AX83" t="str">
            <v>LA LIBERTAD PQ 4</v>
          </cell>
          <cell r="BL83">
            <v>4.6109999999999998</v>
          </cell>
          <cell r="BO83">
            <v>2450</v>
          </cell>
          <cell r="BQ83">
            <v>245</v>
          </cell>
        </row>
        <row r="84">
          <cell r="J84" t="str">
            <v>La Libertad</v>
          </cell>
          <cell r="K84" t="str">
            <v>Viru</v>
          </cell>
          <cell r="L84" t="str">
            <v>Chao</v>
          </cell>
          <cell r="N84" t="str">
            <v xml:space="preserve">Bocana, Medanos y Laramie </v>
          </cell>
          <cell r="AX84" t="str">
            <v>LA LIBERTAD PQ 2</v>
          </cell>
          <cell r="BL84">
            <v>4.9649999999999999</v>
          </cell>
          <cell r="BO84">
            <v>200</v>
          </cell>
          <cell r="BQ84">
            <v>245</v>
          </cell>
        </row>
        <row r="85">
          <cell r="J85" t="str">
            <v>La Libertad</v>
          </cell>
          <cell r="K85" t="str">
            <v>Viru</v>
          </cell>
          <cell r="L85" t="str">
            <v>Chao</v>
          </cell>
          <cell r="N85" t="str">
            <v xml:space="preserve">El progreso y Santa Rita Baja </v>
          </cell>
          <cell r="AX85" t="str">
            <v>LA LIBERTAD PQ 2</v>
          </cell>
          <cell r="BL85">
            <v>3.35</v>
          </cell>
          <cell r="BO85">
            <v>150</v>
          </cell>
          <cell r="BQ85">
            <v>100</v>
          </cell>
        </row>
        <row r="86">
          <cell r="J86" t="str">
            <v>Lima</v>
          </cell>
          <cell r="K86" t="str">
            <v>Huarochiri</v>
          </cell>
          <cell r="L86" t="str">
            <v>Santa Cruz de Cocachacra</v>
          </cell>
          <cell r="N86" t="str">
            <v>Oscolla Parte Alta</v>
          </cell>
          <cell r="AX86" t="str">
            <v>LIMA PQ 5</v>
          </cell>
          <cell r="BL86">
            <v>0.3</v>
          </cell>
          <cell r="BO86">
            <v>400</v>
          </cell>
          <cell r="BQ86">
            <v>80</v>
          </cell>
        </row>
        <row r="87">
          <cell r="J87" t="str">
            <v>Lima</v>
          </cell>
          <cell r="K87" t="str">
            <v>Huarochiri</v>
          </cell>
          <cell r="L87" t="str">
            <v>Santa Cruz de Cocachacra</v>
          </cell>
          <cell r="N87" t="str">
            <v>Corcona</v>
          </cell>
          <cell r="AX87" t="str">
            <v>LIMA PQ 5</v>
          </cell>
          <cell r="BL87">
            <v>1.95</v>
          </cell>
          <cell r="BO87">
            <v>2000</v>
          </cell>
          <cell r="BQ87">
            <v>15</v>
          </cell>
        </row>
        <row r="88">
          <cell r="J88" t="str">
            <v>Lima</v>
          </cell>
          <cell r="K88" t="str">
            <v>Huaral</v>
          </cell>
          <cell r="L88" t="str">
            <v>Aucallama</v>
          </cell>
          <cell r="N88" t="str">
            <v>Bocatoma Salinas Alta-Manchuria</v>
          </cell>
          <cell r="AX88" t="str">
            <v>LIMA PQ 6</v>
          </cell>
          <cell r="BL88">
            <v>0.71399999999999997</v>
          </cell>
          <cell r="BO88">
            <v>282</v>
          </cell>
          <cell r="BQ88">
            <v>36</v>
          </cell>
        </row>
        <row r="89">
          <cell r="J89" t="str">
            <v>Arequipa</v>
          </cell>
          <cell r="K89" t="str">
            <v>Arequipa</v>
          </cell>
          <cell r="L89" t="str">
            <v>Sachaca</v>
          </cell>
          <cell r="N89" t="str">
            <v>Backus</v>
          </cell>
          <cell r="AX89" t="str">
            <v>AREQUIPA PQ 3</v>
          </cell>
          <cell r="BL89">
            <v>0.61</v>
          </cell>
          <cell r="BO89">
            <v>30</v>
          </cell>
          <cell r="BQ89">
            <v>4.5</v>
          </cell>
        </row>
        <row r="90">
          <cell r="J90" t="str">
            <v>Arequipa</v>
          </cell>
          <cell r="K90" t="str">
            <v>Arequipa</v>
          </cell>
          <cell r="L90" t="str">
            <v>Sachaca</v>
          </cell>
          <cell r="N90" t="str">
            <v>Backus Aguas Abajo</v>
          </cell>
          <cell r="AX90" t="str">
            <v>AREQUIPA PQ 3</v>
          </cell>
          <cell r="BL90">
            <v>0.1</v>
          </cell>
          <cell r="BO90">
            <v>85</v>
          </cell>
          <cell r="BQ90">
            <v>13.5</v>
          </cell>
        </row>
        <row r="91">
          <cell r="J91" t="str">
            <v>Arequipa</v>
          </cell>
          <cell r="K91" t="str">
            <v>Arequipa</v>
          </cell>
          <cell r="L91" t="str">
            <v>Arequipa</v>
          </cell>
          <cell r="N91" t="str">
            <v>Bajo Puente Grau</v>
          </cell>
          <cell r="BL91">
            <v>0.4</v>
          </cell>
          <cell r="BO91">
            <v>295</v>
          </cell>
          <cell r="BQ91" t="str">
            <v>-</v>
          </cell>
        </row>
        <row r="92">
          <cell r="J92" t="str">
            <v>Arequipa</v>
          </cell>
          <cell r="K92" t="str">
            <v>Arequipa</v>
          </cell>
          <cell r="L92" t="str">
            <v>Arequipa</v>
          </cell>
          <cell r="N92" t="str">
            <v>Puente San Martín</v>
          </cell>
          <cell r="BL92">
            <v>0.63</v>
          </cell>
          <cell r="BO92">
            <v>350</v>
          </cell>
          <cell r="BQ92">
            <v>1</v>
          </cell>
        </row>
        <row r="93">
          <cell r="J93" t="str">
            <v>Piura</v>
          </cell>
          <cell r="K93" t="str">
            <v>Ayabaca</v>
          </cell>
          <cell r="L93" t="str">
            <v>Ayabaca</v>
          </cell>
          <cell r="N93" t="str">
            <v>Sausal del Quiroz</v>
          </cell>
          <cell r="BL93">
            <v>1.1000000000000001</v>
          </cell>
          <cell r="BO93" t="str">
            <v>-</v>
          </cell>
          <cell r="BQ93">
            <v>40</v>
          </cell>
        </row>
        <row r="94">
          <cell r="J94" t="str">
            <v>Piura</v>
          </cell>
          <cell r="K94" t="str">
            <v>Ayabaca</v>
          </cell>
          <cell r="L94" t="str">
            <v>Paimas</v>
          </cell>
          <cell r="N94" t="str">
            <v>Culqui</v>
          </cell>
          <cell r="BL94">
            <v>2.17</v>
          </cell>
          <cell r="BO94">
            <v>609</v>
          </cell>
          <cell r="BQ94">
            <v>45</v>
          </cell>
        </row>
        <row r="95">
          <cell r="J95" t="str">
            <v>Arequipa</v>
          </cell>
          <cell r="K95" t="str">
            <v>Arequipa</v>
          </cell>
          <cell r="L95" t="str">
            <v>José Luis Bustamante y Rivero</v>
          </cell>
          <cell r="N95" t="str">
            <v>Puente Acomayo aguas arriba y abajo</v>
          </cell>
          <cell r="BL95">
            <v>1</v>
          </cell>
          <cell r="BO95">
            <v>1200</v>
          </cell>
          <cell r="BQ95" t="str">
            <v>-</v>
          </cell>
        </row>
        <row r="96">
          <cell r="J96" t="str">
            <v>Arequipa</v>
          </cell>
          <cell r="K96" t="str">
            <v>Arequipa</v>
          </cell>
          <cell r="L96" t="str">
            <v>Jacobo Hunter</v>
          </cell>
          <cell r="N96" t="str">
            <v>Terminal Terrestre</v>
          </cell>
          <cell r="BL96">
            <v>0.39</v>
          </cell>
          <cell r="BO96">
            <v>80</v>
          </cell>
          <cell r="BQ96" t="str">
            <v>-</v>
          </cell>
        </row>
        <row r="97">
          <cell r="J97" t="str">
            <v>Arequipa</v>
          </cell>
          <cell r="K97" t="str">
            <v>Arequipa</v>
          </cell>
          <cell r="L97" t="str">
            <v>José Luis Bustamante y Rivero</v>
          </cell>
          <cell r="N97" t="str">
            <v>Los Incas</v>
          </cell>
          <cell r="BL97">
            <v>1.29</v>
          </cell>
          <cell r="BO97">
            <v>850</v>
          </cell>
          <cell r="BQ97">
            <v>8.5</v>
          </cell>
        </row>
        <row r="98">
          <cell r="J98" t="str">
            <v>Arequipa</v>
          </cell>
          <cell r="K98" t="str">
            <v>Arequipa</v>
          </cell>
          <cell r="L98" t="str">
            <v>Sachaca</v>
          </cell>
          <cell r="N98" t="str">
            <v>Janter-Puente Tingo</v>
          </cell>
          <cell r="AX98" t="str">
            <v>AREQUIPA PQ 1</v>
          </cell>
          <cell r="BL98">
            <v>0.36</v>
          </cell>
          <cell r="BO98">
            <v>200</v>
          </cell>
          <cell r="BQ98">
            <v>1.73</v>
          </cell>
        </row>
        <row r="99">
          <cell r="J99" t="str">
            <v>Arequipa</v>
          </cell>
          <cell r="K99" t="str">
            <v>Arequipa</v>
          </cell>
          <cell r="L99" t="str">
            <v>Arequipa</v>
          </cell>
          <cell r="N99" t="str">
            <v>Puente de Fierro</v>
          </cell>
          <cell r="BL99">
            <v>0.39500000000000002</v>
          </cell>
          <cell r="BO99">
            <v>180</v>
          </cell>
          <cell r="BQ99">
            <v>7</v>
          </cell>
        </row>
        <row r="100">
          <cell r="J100" t="str">
            <v>Arequipa</v>
          </cell>
          <cell r="K100" t="str">
            <v>Arequipa</v>
          </cell>
          <cell r="L100" t="str">
            <v>Jacobo Hunter</v>
          </cell>
          <cell r="N100" t="str">
            <v>Tiabaya-Puente Beily</v>
          </cell>
          <cell r="AX100" t="str">
            <v>AREQUIPA PQ 2</v>
          </cell>
          <cell r="BL100">
            <v>0.06</v>
          </cell>
          <cell r="BO100">
            <v>15</v>
          </cell>
          <cell r="BQ100">
            <v>30.67</v>
          </cell>
        </row>
        <row r="101">
          <cell r="J101" t="str">
            <v>Arequipa</v>
          </cell>
          <cell r="K101" t="str">
            <v>Arequipa</v>
          </cell>
          <cell r="L101" t="str">
            <v>Tiabaya</v>
          </cell>
          <cell r="N101" t="str">
            <v>Puente Tiabaya</v>
          </cell>
          <cell r="AX101" t="str">
            <v>AREQUIPA PQ 3</v>
          </cell>
          <cell r="BL101">
            <v>4.4999999999999998E-2</v>
          </cell>
          <cell r="BO101">
            <v>0</v>
          </cell>
          <cell r="BQ101">
            <v>4.09</v>
          </cell>
        </row>
        <row r="102">
          <cell r="J102" t="str">
            <v>Arequipa</v>
          </cell>
          <cell r="K102" t="str">
            <v>Arequipa</v>
          </cell>
          <cell r="L102" t="str">
            <v>Arequipa</v>
          </cell>
          <cell r="N102" t="str">
            <v>La Ribereña</v>
          </cell>
          <cell r="AX102" t="str">
            <v>AREQUIPA PQ 2</v>
          </cell>
          <cell r="BL102">
            <v>0.38</v>
          </cell>
          <cell r="BO102">
            <v>30</v>
          </cell>
          <cell r="BQ102">
            <v>4.5</v>
          </cell>
        </row>
        <row r="103">
          <cell r="J103" t="str">
            <v>Arequipa</v>
          </cell>
          <cell r="K103" t="str">
            <v>Arequipa</v>
          </cell>
          <cell r="L103" t="str">
            <v>Arequipa</v>
          </cell>
          <cell r="N103" t="str">
            <v>Cercado 2-Puente San Isisdro</v>
          </cell>
          <cell r="BL103">
            <v>0.21</v>
          </cell>
          <cell r="BO103">
            <v>70</v>
          </cell>
          <cell r="BQ103" t="str">
            <v>-</v>
          </cell>
        </row>
        <row r="104">
          <cell r="J104" t="str">
            <v>Arequipa</v>
          </cell>
          <cell r="K104" t="str">
            <v>Arequipa</v>
          </cell>
          <cell r="L104" t="str">
            <v>Arequipa</v>
          </cell>
          <cell r="N104" t="str">
            <v>Puente Ernesto Gunther</v>
          </cell>
          <cell r="AX104" t="str">
            <v>AREQUIPA PQ 2</v>
          </cell>
          <cell r="BL104">
            <v>4.4999999999999998E-2</v>
          </cell>
          <cell r="BO104">
            <v>180</v>
          </cell>
          <cell r="BQ104">
            <v>10.5</v>
          </cell>
        </row>
        <row r="105">
          <cell r="J105" t="str">
            <v>Arequipa</v>
          </cell>
          <cell r="K105" t="str">
            <v>Arequipa</v>
          </cell>
          <cell r="L105" t="str">
            <v>Jacobo Hunter</v>
          </cell>
          <cell r="N105" t="str">
            <v>Puente Ernesto Gunther</v>
          </cell>
          <cell r="BL105">
            <v>1.0640000000000001</v>
          </cell>
          <cell r="BO105">
            <v>115</v>
          </cell>
          <cell r="BQ105">
            <v>16</v>
          </cell>
        </row>
        <row r="106">
          <cell r="J106" t="str">
            <v>Arequipa</v>
          </cell>
          <cell r="K106" t="str">
            <v>Arequipa</v>
          </cell>
          <cell r="L106" t="str">
            <v>Jacobo Hunter</v>
          </cell>
          <cell r="N106" t="str">
            <v>Club de Abogados</v>
          </cell>
          <cell r="AX106" t="str">
            <v>AREQUIPA PQ 2</v>
          </cell>
          <cell r="BL106">
            <v>0.25</v>
          </cell>
          <cell r="BO106">
            <v>240</v>
          </cell>
          <cell r="BQ106">
            <v>2.5</v>
          </cell>
        </row>
        <row r="107">
          <cell r="J107" t="str">
            <v>Arequipa</v>
          </cell>
          <cell r="K107" t="str">
            <v>Arequipa</v>
          </cell>
          <cell r="L107" t="str">
            <v>Arequipa</v>
          </cell>
          <cell r="N107" t="str">
            <v>Vallecito</v>
          </cell>
          <cell r="BL107">
            <v>0.17</v>
          </cell>
          <cell r="BO107">
            <v>180</v>
          </cell>
          <cell r="BQ107">
            <v>3</v>
          </cell>
        </row>
        <row r="108">
          <cell r="J108" t="str">
            <v>Piura</v>
          </cell>
          <cell r="K108" t="str">
            <v>Ayabaca</v>
          </cell>
          <cell r="L108" t="str">
            <v>Paimas</v>
          </cell>
          <cell r="N108" t="str">
            <v>Zamba</v>
          </cell>
          <cell r="BL108">
            <v>0.5</v>
          </cell>
          <cell r="BO108" t="str">
            <v>-</v>
          </cell>
          <cell r="BQ108" t="str">
            <v>-</v>
          </cell>
        </row>
        <row r="109">
          <cell r="J109" t="str">
            <v>Arequipa</v>
          </cell>
          <cell r="K109" t="str">
            <v>Arequipa</v>
          </cell>
          <cell r="L109" t="str">
            <v>Socabaya</v>
          </cell>
          <cell r="N109" t="str">
            <v>Puente de la Amistad Aguas Abajo</v>
          </cell>
          <cell r="AX109" t="str">
            <v>AREQUIPA PQ 4</v>
          </cell>
          <cell r="BL109">
            <v>1</v>
          </cell>
          <cell r="BO109">
            <v>0</v>
          </cell>
          <cell r="BQ109">
            <v>20.5</v>
          </cell>
        </row>
        <row r="110">
          <cell r="J110" t="str">
            <v>Arequipa</v>
          </cell>
          <cell r="K110" t="str">
            <v>Arequipa</v>
          </cell>
          <cell r="L110" t="str">
            <v>Jacobo Hunter</v>
          </cell>
          <cell r="N110" t="str">
            <v>Las Peñas y Puente de la Amistad</v>
          </cell>
          <cell r="AX110" t="str">
            <v>AREQUIPA PQ 2</v>
          </cell>
          <cell r="BL110">
            <v>0.4</v>
          </cell>
          <cell r="BO110">
            <v>750</v>
          </cell>
          <cell r="BQ110">
            <v>26</v>
          </cell>
        </row>
        <row r="111">
          <cell r="J111" t="str">
            <v>Arequipa</v>
          </cell>
          <cell r="K111" t="str">
            <v>Arequipa</v>
          </cell>
          <cell r="L111" t="str">
            <v>Socabaya</v>
          </cell>
          <cell r="N111" t="str">
            <v>Las Peñas y Avenida Socabaya</v>
          </cell>
          <cell r="AX111" t="str">
            <v>AREQUIPA PQ 5</v>
          </cell>
          <cell r="BL111">
            <v>0.74</v>
          </cell>
          <cell r="BO111">
            <v>450</v>
          </cell>
          <cell r="BQ111">
            <v>6</v>
          </cell>
        </row>
        <row r="112">
          <cell r="J112" t="str">
            <v>Lima</v>
          </cell>
          <cell r="K112" t="str">
            <v>Canta</v>
          </cell>
          <cell r="L112" t="str">
            <v>Santa Rosa de Quives</v>
          </cell>
          <cell r="N112" t="str">
            <v>Checta</v>
          </cell>
          <cell r="AX112" t="str">
            <v>LIMA PQ 3</v>
          </cell>
          <cell r="BL112">
            <v>0.5</v>
          </cell>
          <cell r="BO112">
            <v>40</v>
          </cell>
          <cell r="BQ112">
            <v>2</v>
          </cell>
        </row>
        <row r="113">
          <cell r="J113" t="str">
            <v>Lima</v>
          </cell>
          <cell r="K113" t="str">
            <v>Canta</v>
          </cell>
          <cell r="L113" t="str">
            <v>Santa Rosa de Quives</v>
          </cell>
          <cell r="N113" t="str">
            <v>Puente Macas I</v>
          </cell>
          <cell r="AX113" t="str">
            <v>LIMA PQ 1</v>
          </cell>
          <cell r="BL113">
            <v>0.98</v>
          </cell>
          <cell r="BO113">
            <v>25</v>
          </cell>
          <cell r="BQ113">
            <v>20</v>
          </cell>
        </row>
        <row r="114">
          <cell r="J114" t="str">
            <v>Lima</v>
          </cell>
          <cell r="K114" t="str">
            <v>Canta</v>
          </cell>
          <cell r="L114" t="str">
            <v>Santa Rosa de Quives</v>
          </cell>
          <cell r="N114" t="str">
            <v>Puente Macas II</v>
          </cell>
          <cell r="AX114" t="str">
            <v>LIMA PQ 2</v>
          </cell>
          <cell r="BL114">
            <v>0.75</v>
          </cell>
          <cell r="BO114">
            <v>25</v>
          </cell>
          <cell r="BQ114">
            <v>20</v>
          </cell>
        </row>
        <row r="115">
          <cell r="J115" t="str">
            <v>Lima</v>
          </cell>
          <cell r="K115" t="str">
            <v>Canta</v>
          </cell>
          <cell r="L115" t="str">
            <v>Santa Rosa de Quives</v>
          </cell>
          <cell r="N115" t="str">
            <v xml:space="preserve">El Olivar </v>
          </cell>
          <cell r="AX115" t="str">
            <v>LIMA PQ 3</v>
          </cell>
          <cell r="BL115">
            <v>1.35</v>
          </cell>
          <cell r="BO115">
            <v>60</v>
          </cell>
          <cell r="BQ115">
            <v>0.5</v>
          </cell>
        </row>
        <row r="116">
          <cell r="J116" t="str">
            <v>Lima</v>
          </cell>
          <cell r="K116" t="str">
            <v>Canta</v>
          </cell>
          <cell r="L116" t="str">
            <v>Santa Rosa de Quives</v>
          </cell>
          <cell r="N116" t="str">
            <v>Puente Arahuay</v>
          </cell>
          <cell r="AX116" t="str">
            <v>LIMA PQ 3</v>
          </cell>
          <cell r="BL116">
            <v>0.95</v>
          </cell>
          <cell r="BO116">
            <v>60</v>
          </cell>
          <cell r="BQ116">
            <v>0</v>
          </cell>
        </row>
        <row r="117">
          <cell r="J117" t="str">
            <v>Lima</v>
          </cell>
          <cell r="K117" t="str">
            <v>Canta</v>
          </cell>
          <cell r="L117" t="str">
            <v>Santa Rosa de Quives</v>
          </cell>
          <cell r="N117" t="str">
            <v>La Cabaña</v>
          </cell>
          <cell r="AX117" t="str">
            <v>LIMA PQ 3</v>
          </cell>
          <cell r="BL117">
            <v>0.25</v>
          </cell>
          <cell r="BO117">
            <v>96</v>
          </cell>
          <cell r="BQ117">
            <v>0</v>
          </cell>
        </row>
        <row r="118">
          <cell r="J118" t="str">
            <v>Lima</v>
          </cell>
          <cell r="K118" t="str">
            <v>Huarochiri</v>
          </cell>
          <cell r="L118" t="str">
            <v>Santo Domingo de Olleros</v>
          </cell>
          <cell r="N118" t="str">
            <v>Caputish</v>
          </cell>
          <cell r="AX118" t="str">
            <v>LIMA PQ 5</v>
          </cell>
          <cell r="BL118">
            <v>0.4</v>
          </cell>
          <cell r="BO118">
            <v>60</v>
          </cell>
          <cell r="BQ118">
            <v>1.8</v>
          </cell>
        </row>
        <row r="119">
          <cell r="J119" t="str">
            <v>Lima</v>
          </cell>
          <cell r="K119" t="str">
            <v>Huarochiri</v>
          </cell>
          <cell r="L119" t="str">
            <v>Santo Domingo de Olleros</v>
          </cell>
          <cell r="N119" t="str">
            <v>Chichacara-Pulacama</v>
          </cell>
          <cell r="AX119" t="str">
            <v>LIMA PQ 5</v>
          </cell>
          <cell r="BL119">
            <v>2</v>
          </cell>
          <cell r="BO119">
            <v>86</v>
          </cell>
          <cell r="BQ119">
            <v>3</v>
          </cell>
        </row>
        <row r="120">
          <cell r="J120" t="str">
            <v>Lima</v>
          </cell>
          <cell r="K120" t="str">
            <v>Huarochiri</v>
          </cell>
          <cell r="L120" t="str">
            <v>Santo Domingo de Olleros</v>
          </cell>
          <cell r="N120" t="str">
            <v>Cucucli</v>
          </cell>
          <cell r="AX120" t="str">
            <v>LIMA PQ 5</v>
          </cell>
          <cell r="BL120">
            <v>1.96</v>
          </cell>
          <cell r="BO120">
            <v>480</v>
          </cell>
          <cell r="BQ120">
            <v>1.6</v>
          </cell>
        </row>
        <row r="121">
          <cell r="J121" t="str">
            <v>Lima</v>
          </cell>
          <cell r="K121" t="str">
            <v>Huarochiri</v>
          </cell>
          <cell r="L121" t="str">
            <v>Santa Eulalia</v>
          </cell>
          <cell r="N121" t="str">
            <v>Huaynani</v>
          </cell>
          <cell r="AX121" t="str">
            <v>LIMA PQ 5</v>
          </cell>
          <cell r="BL121">
            <v>1.5</v>
          </cell>
          <cell r="BO121">
            <v>42</v>
          </cell>
          <cell r="BQ121">
            <v>6</v>
          </cell>
        </row>
        <row r="122">
          <cell r="J122" t="str">
            <v>Lima</v>
          </cell>
          <cell r="K122" t="str">
            <v>Huarochiri</v>
          </cell>
          <cell r="L122" t="str">
            <v>Santa Eulalia</v>
          </cell>
          <cell r="N122" t="str">
            <v>Casa Grande-Chune</v>
          </cell>
          <cell r="AX122" t="str">
            <v>LIMA PQ 5</v>
          </cell>
          <cell r="BL122">
            <v>1.105</v>
          </cell>
          <cell r="BO122">
            <v>80</v>
          </cell>
          <cell r="BQ122">
            <v>11.5</v>
          </cell>
        </row>
        <row r="123">
          <cell r="J123" t="str">
            <v>Lima</v>
          </cell>
          <cell r="K123" t="str">
            <v>Huarochiri</v>
          </cell>
          <cell r="L123" t="str">
            <v>Santa Eulalia</v>
          </cell>
          <cell r="N123" t="str">
            <v>Chingolay</v>
          </cell>
          <cell r="BL123">
            <v>5.5E-2</v>
          </cell>
          <cell r="BO123">
            <v>260</v>
          </cell>
          <cell r="BQ123" t="str">
            <v>-</v>
          </cell>
        </row>
        <row r="124">
          <cell r="J124" t="str">
            <v>Lima</v>
          </cell>
          <cell r="K124" t="str">
            <v>Huarochiri</v>
          </cell>
          <cell r="L124" t="str">
            <v>Santa Eulalia</v>
          </cell>
          <cell r="N124" t="str">
            <v>Huayaringa 2</v>
          </cell>
          <cell r="BL124">
            <v>5.5E-2</v>
          </cell>
          <cell r="BO124">
            <v>1200</v>
          </cell>
          <cell r="BQ124" t="str">
            <v>-</v>
          </cell>
        </row>
        <row r="125">
          <cell r="J125" t="str">
            <v>Lima</v>
          </cell>
          <cell r="K125" t="str">
            <v>Huarochiri</v>
          </cell>
          <cell r="L125" t="str">
            <v>Santa Eulalia</v>
          </cell>
          <cell r="N125" t="str">
            <v>Mariano Melgar</v>
          </cell>
          <cell r="BL125">
            <v>2.5000000000000001E-2</v>
          </cell>
          <cell r="BO125">
            <v>348</v>
          </cell>
          <cell r="BQ125" t="str">
            <v>-</v>
          </cell>
        </row>
        <row r="126">
          <cell r="J126" t="str">
            <v>Lima</v>
          </cell>
          <cell r="K126" t="str">
            <v>Huarochiri</v>
          </cell>
          <cell r="L126" t="str">
            <v>Santa Eulalia</v>
          </cell>
          <cell r="N126" t="str">
            <v>Mariano Melgar 2</v>
          </cell>
          <cell r="BL126">
            <v>2.5000000000000001E-2</v>
          </cell>
          <cell r="BO126">
            <v>300</v>
          </cell>
          <cell r="BQ126" t="str">
            <v>-</v>
          </cell>
        </row>
        <row r="127">
          <cell r="J127" t="str">
            <v>Lima</v>
          </cell>
          <cell r="K127" t="str">
            <v>Barranca</v>
          </cell>
          <cell r="L127" t="str">
            <v>Supe</v>
          </cell>
          <cell r="N127" t="str">
            <v>Caral-Chupacigarro</v>
          </cell>
          <cell r="AX127" t="str">
            <v>LIMA PQ 3</v>
          </cell>
          <cell r="BL127">
            <v>1.3</v>
          </cell>
          <cell r="BO127">
            <v>0</v>
          </cell>
          <cell r="BQ127">
            <v>33</v>
          </cell>
        </row>
        <row r="128">
          <cell r="J128" t="str">
            <v>Lima</v>
          </cell>
          <cell r="K128" t="str">
            <v>Barranca</v>
          </cell>
          <cell r="L128" t="str">
            <v>Supe</v>
          </cell>
          <cell r="N128" t="str">
            <v>Chupacigarro, Llamahuaca-Pando, Hurihuas</v>
          </cell>
          <cell r="AX128" t="str">
            <v>LIMA PQ 3</v>
          </cell>
          <cell r="BL128">
            <v>3.3650000000000002</v>
          </cell>
          <cell r="BO128">
            <v>0</v>
          </cell>
          <cell r="BQ128">
            <v>54</v>
          </cell>
        </row>
        <row r="129">
          <cell r="J129" t="str">
            <v>Lima</v>
          </cell>
          <cell r="K129" t="str">
            <v>Barranca</v>
          </cell>
          <cell r="L129" t="str">
            <v>Supe</v>
          </cell>
          <cell r="N129" t="str">
            <v>Pulancache Bajo</v>
          </cell>
          <cell r="AX129" t="str">
            <v>LIMA PQ 3</v>
          </cell>
          <cell r="BL129">
            <v>1.546</v>
          </cell>
          <cell r="BO129">
            <v>0</v>
          </cell>
          <cell r="BQ129">
            <v>28</v>
          </cell>
        </row>
        <row r="130">
          <cell r="J130" t="str">
            <v>Lima</v>
          </cell>
          <cell r="K130" t="str">
            <v>Barranca</v>
          </cell>
          <cell r="L130" t="str">
            <v>Supe</v>
          </cell>
          <cell r="N130" t="str">
            <v>Pulancache</v>
          </cell>
          <cell r="AX130" t="str">
            <v>LIMA PQ 3</v>
          </cell>
          <cell r="BL130">
            <v>0.97</v>
          </cell>
          <cell r="BO130">
            <v>180</v>
          </cell>
          <cell r="BQ130">
            <v>28</v>
          </cell>
        </row>
        <row r="131">
          <cell r="J131" t="str">
            <v>Lima</v>
          </cell>
          <cell r="K131" t="str">
            <v>Barranca</v>
          </cell>
          <cell r="L131" t="str">
            <v>Pativilca</v>
          </cell>
          <cell r="N131" t="str">
            <v>C.P. Simón Bolívar</v>
          </cell>
          <cell r="AX131" t="str">
            <v>LIMA PQ 3</v>
          </cell>
          <cell r="BL131">
            <v>2.54</v>
          </cell>
          <cell r="BO131">
            <v>200</v>
          </cell>
          <cell r="BQ131">
            <v>40</v>
          </cell>
        </row>
        <row r="132">
          <cell r="J132" t="str">
            <v>Lima</v>
          </cell>
          <cell r="K132" t="str">
            <v>Barranca</v>
          </cell>
          <cell r="L132" t="str">
            <v>Barranca</v>
          </cell>
          <cell r="N132" t="str">
            <v>Vinto Bajo</v>
          </cell>
          <cell r="AX132" t="str">
            <v>LIMA PQ 3</v>
          </cell>
          <cell r="BL132">
            <v>4.3499999999999996</v>
          </cell>
          <cell r="BO132">
            <v>0</v>
          </cell>
          <cell r="BQ132">
            <v>59</v>
          </cell>
        </row>
        <row r="133">
          <cell r="J133" t="str">
            <v>Lima</v>
          </cell>
          <cell r="K133" t="str">
            <v>Huaral</v>
          </cell>
          <cell r="L133" t="str">
            <v>Huaral</v>
          </cell>
          <cell r="N133" t="str">
            <v>Bocatoma Chancay Huaral-Camino Caqui</v>
          </cell>
          <cell r="AX133" t="str">
            <v>LIMA PQ 6</v>
          </cell>
          <cell r="BL133">
            <v>1.2070000000000001</v>
          </cell>
          <cell r="BO133">
            <v>236</v>
          </cell>
          <cell r="BQ133">
            <v>37</v>
          </cell>
        </row>
        <row r="134">
          <cell r="J134" t="str">
            <v>Lima</v>
          </cell>
          <cell r="K134" t="str">
            <v>Huaral</v>
          </cell>
          <cell r="L134" t="str">
            <v>Aucallama</v>
          </cell>
          <cell r="N134" t="str">
            <v>Barraje Huando-Río Pisquillo</v>
          </cell>
          <cell r="AX134" t="str">
            <v>LIMA PQ 6</v>
          </cell>
          <cell r="BL134">
            <v>1.03</v>
          </cell>
          <cell r="BO134">
            <v>66</v>
          </cell>
          <cell r="BQ134">
            <v>85</v>
          </cell>
        </row>
        <row r="135">
          <cell r="J135" t="str">
            <v>Lima</v>
          </cell>
          <cell r="K135" t="str">
            <v>Huaral</v>
          </cell>
          <cell r="L135" t="str">
            <v>Huaral</v>
          </cell>
          <cell r="N135" t="str">
            <v>Barraje Huando-Río Pisquillo</v>
          </cell>
          <cell r="AX135" t="str">
            <v>LIMA PQ 6</v>
          </cell>
          <cell r="BL135">
            <v>0.25</v>
          </cell>
          <cell r="BO135">
            <v>38</v>
          </cell>
          <cell r="BQ135">
            <v>52</v>
          </cell>
        </row>
        <row r="136">
          <cell r="J136" t="str">
            <v>Lima</v>
          </cell>
          <cell r="K136" t="str">
            <v>Huaral</v>
          </cell>
          <cell r="L136" t="str">
            <v>Huaral</v>
          </cell>
          <cell r="N136" t="str">
            <v>Lunavilca-Pasamayo Bajo</v>
          </cell>
          <cell r="AX136" t="str">
            <v>LIMA PQ 6</v>
          </cell>
          <cell r="BL136">
            <v>2.97</v>
          </cell>
          <cell r="BO136">
            <v>68</v>
          </cell>
          <cell r="BQ136">
            <v>49.5</v>
          </cell>
        </row>
        <row r="137">
          <cell r="J137" t="str">
            <v>Lima</v>
          </cell>
          <cell r="K137" t="str">
            <v>Huaral</v>
          </cell>
          <cell r="L137" t="str">
            <v>Chancay</v>
          </cell>
          <cell r="N137" t="str">
            <v>Puente Chancay Aguas Arriba</v>
          </cell>
          <cell r="BL137">
            <v>0.35</v>
          </cell>
          <cell r="BO137" t="str">
            <v>-</v>
          </cell>
          <cell r="BQ137">
            <v>8</v>
          </cell>
        </row>
        <row r="138">
          <cell r="J138" t="str">
            <v>Lima</v>
          </cell>
          <cell r="K138" t="str">
            <v>Huaral</v>
          </cell>
          <cell r="L138" t="str">
            <v>Aucallama</v>
          </cell>
          <cell r="N138" t="str">
            <v>Lunavilca-Pasamayo Bajo</v>
          </cell>
          <cell r="BL138">
            <v>2.5499999999999998</v>
          </cell>
          <cell r="BO138" t="str">
            <v>-</v>
          </cell>
          <cell r="BQ138">
            <v>79.5</v>
          </cell>
        </row>
        <row r="139">
          <cell r="J139" t="str">
            <v>Arequipa</v>
          </cell>
          <cell r="K139" t="str">
            <v>Arequipa</v>
          </cell>
          <cell r="L139" t="str">
            <v>Tiabaya</v>
          </cell>
          <cell r="N139" t="str">
            <v>La Piscina</v>
          </cell>
          <cell r="AX139" t="str">
            <v>AREQUIPA PQ 5</v>
          </cell>
          <cell r="BL139">
            <v>0.61</v>
          </cell>
          <cell r="BO139">
            <v>10</v>
          </cell>
          <cell r="BQ139">
            <v>15</v>
          </cell>
        </row>
        <row r="140">
          <cell r="J140" t="str">
            <v>Arequipa</v>
          </cell>
          <cell r="K140" t="str">
            <v>Arequipa</v>
          </cell>
          <cell r="L140" t="str">
            <v>Uchumayo</v>
          </cell>
          <cell r="N140" t="str">
            <v>Congata</v>
          </cell>
          <cell r="AX140" t="str">
            <v>AREQUIPA PQ 3</v>
          </cell>
          <cell r="BL140">
            <v>0.34</v>
          </cell>
          <cell r="BO140">
            <v>0</v>
          </cell>
          <cell r="BQ140">
            <v>15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II"/>
      <sheetName val="RESUMEN"/>
      <sheetName val="CONSOLIDADO"/>
      <sheetName val="DATA 562"/>
      <sheetName val="baseMEF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34C19-EDC7-44A2-B43F-2A22E8F8FA85}">
  <dimension ref="A1:M136"/>
  <sheetViews>
    <sheetView tabSelected="1" zoomScale="145" zoomScaleNormal="145" workbookViewId="0">
      <selection activeCell="D3" sqref="D3"/>
    </sheetView>
  </sheetViews>
  <sheetFormatPr baseColWidth="10" defaultRowHeight="14.4" x14ac:dyDescent="0.3"/>
  <cols>
    <col min="1" max="1" width="11.5546875" style="9"/>
    <col min="6" max="6" width="15.44140625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3" x14ac:dyDescent="0.3">
      <c r="A2" s="3">
        <v>1</v>
      </c>
      <c r="B2" s="4" t="str">
        <f>+'[1]CONSOLIDADO RF'!J6</f>
        <v>Piura</v>
      </c>
      <c r="C2" s="4" t="str">
        <f>+'[1]CONSOLIDADO RF'!K6</f>
        <v>Huancabamba</v>
      </c>
      <c r="D2" s="4" t="str">
        <f>+'[1]CONSOLIDADO RF'!L6</f>
        <v>Huarmaca</v>
      </c>
      <c r="E2" s="4" t="str">
        <f>+'[1]CONSOLIDADO RF'!N6</f>
        <v>Chignia Alta</v>
      </c>
      <c r="F2" s="4" t="str">
        <f>+'[1]CONSOLIDADO RF'!AX6</f>
        <v>PIURA PQ 2</v>
      </c>
      <c r="G2" s="5">
        <f>+'[1]CONSOLIDADO RF'!BL6</f>
        <v>0.91400000000000003</v>
      </c>
      <c r="H2" s="4">
        <f>+'[1]CONSOLIDADO RF'!BO6</f>
        <v>271</v>
      </c>
      <c r="I2" s="4">
        <f>+'[1]CONSOLIDADO RF'!BQ6</f>
        <v>130</v>
      </c>
      <c r="J2" s="4" t="s">
        <v>10</v>
      </c>
      <c r="M2" t="s">
        <v>11</v>
      </c>
    </row>
    <row r="3" spans="1:13" x14ac:dyDescent="0.3">
      <c r="A3" s="3">
        <v>2</v>
      </c>
      <c r="B3" s="4" t="str">
        <f>+'[1]CONSOLIDADO RF'!J7</f>
        <v>Piura</v>
      </c>
      <c r="C3" s="4" t="str">
        <f>+'[1]CONSOLIDADO RF'!K7</f>
        <v>Huancabamba</v>
      </c>
      <c r="D3" s="4" t="str">
        <f>+'[1]CONSOLIDADO RF'!L7</f>
        <v>Huarmaca</v>
      </c>
      <c r="E3" s="4" t="str">
        <f>+'[1]CONSOLIDADO RF'!N7</f>
        <v>Chignia Baja</v>
      </c>
      <c r="F3" s="4" t="str">
        <f>+'[1]CONSOLIDADO RF'!AX7</f>
        <v>PIURA PQ 2</v>
      </c>
      <c r="G3" s="5">
        <f>+'[1]CONSOLIDADO RF'!BL7</f>
        <v>0.6</v>
      </c>
      <c r="H3" s="4">
        <f>+'[1]CONSOLIDADO RF'!BO7</f>
        <v>161</v>
      </c>
      <c r="I3" s="4">
        <f>+'[1]CONSOLIDADO RF'!BQ7</f>
        <v>38</v>
      </c>
      <c r="J3" s="4" t="s">
        <v>10</v>
      </c>
      <c r="M3" t="s">
        <v>12</v>
      </c>
    </row>
    <row r="4" spans="1:13" x14ac:dyDescent="0.3">
      <c r="A4" s="3">
        <v>3</v>
      </c>
      <c r="B4" s="4" t="str">
        <f>+'[1]CONSOLIDADO RF'!J8</f>
        <v>Piura</v>
      </c>
      <c r="C4" s="4" t="str">
        <f>+'[1]CONSOLIDADO RF'!K8</f>
        <v>Huancabamba</v>
      </c>
      <c r="D4" s="4" t="str">
        <f>+'[1]CONSOLIDADO RF'!L8</f>
        <v>San Miguel del Faique</v>
      </c>
      <c r="E4" s="4" t="str">
        <f>+'[1]CONSOLIDADO RF'!N8</f>
        <v>Las Huacas</v>
      </c>
      <c r="F4" s="4" t="str">
        <f>+'[1]CONSOLIDADO RF'!AX8</f>
        <v>PIURA PQ 2</v>
      </c>
      <c r="G4" s="5">
        <f>+'[1]CONSOLIDADO RF'!BL8</f>
        <v>0.85</v>
      </c>
      <c r="H4" s="4">
        <f>+'[1]CONSOLIDADO RF'!BO8</f>
        <v>265</v>
      </c>
      <c r="I4" s="4">
        <f>+'[1]CONSOLIDADO RF'!BQ8</f>
        <v>35</v>
      </c>
      <c r="J4" s="4" t="s">
        <v>10</v>
      </c>
      <c r="M4" t="s">
        <v>10</v>
      </c>
    </row>
    <row r="5" spans="1:13" x14ac:dyDescent="0.3">
      <c r="A5" s="6">
        <v>4</v>
      </c>
      <c r="B5" s="7" t="str">
        <f>+'[1]CONSOLIDADO RF'!J9</f>
        <v>La Libertad</v>
      </c>
      <c r="C5" s="7" t="str">
        <f>+'[1]CONSOLIDADO RF'!K9</f>
        <v>Virú</v>
      </c>
      <c r="D5" s="7" t="str">
        <f>+'[1]CONSOLIDADO RF'!L9</f>
        <v>Chao</v>
      </c>
      <c r="E5" s="7" t="str">
        <f>+'[1]CONSOLIDADO RF'!N9</f>
        <v>Seminario 2-Tanguche</v>
      </c>
      <c r="F5" s="7" t="s">
        <v>13</v>
      </c>
      <c r="G5" s="8">
        <f>+'[1]CONSOLIDADO RF'!BL9</f>
        <v>0.65</v>
      </c>
      <c r="H5" s="6">
        <f>+'[1]CONSOLIDADO RF'!BO9</f>
        <v>15</v>
      </c>
      <c r="I5" s="6">
        <f>+'[1]CONSOLIDADO RF'!BQ9</f>
        <v>20</v>
      </c>
      <c r="J5" s="7" t="s">
        <v>13</v>
      </c>
    </row>
    <row r="6" spans="1:13" x14ac:dyDescent="0.3">
      <c r="A6" s="3">
        <v>5</v>
      </c>
      <c r="B6" s="4" t="str">
        <f>+'[1]CONSOLIDADO RF'!J10</f>
        <v>La Libertad</v>
      </c>
      <c r="C6" s="4" t="str">
        <f>+'[1]CONSOLIDADO RF'!K10</f>
        <v>Virú</v>
      </c>
      <c r="D6" s="4" t="str">
        <f>+'[1]CONSOLIDADO RF'!L10</f>
        <v>Chao</v>
      </c>
      <c r="E6" s="4" t="str">
        <f>+'[1]CONSOLIDADO RF'!N10</f>
        <v>Toma de Captación Ponte</v>
      </c>
      <c r="F6" s="4" t="str">
        <f>+'[1]CONSOLIDADO RF'!AX10</f>
        <v>LA LIBERTAD PQ 1</v>
      </c>
      <c r="G6" s="5">
        <f>+'[1]CONSOLIDADO RF'!BL10</f>
        <v>0.498</v>
      </c>
      <c r="H6" s="4">
        <f>+'[1]CONSOLIDADO RF'!BO10</f>
        <v>20</v>
      </c>
      <c r="I6" s="4">
        <f>+'[1]CONSOLIDADO RF'!BQ10</f>
        <v>20</v>
      </c>
      <c r="J6" s="4" t="s">
        <v>11</v>
      </c>
      <c r="M6" t="s">
        <v>14</v>
      </c>
    </row>
    <row r="7" spans="1:13" x14ac:dyDescent="0.3">
      <c r="A7" s="3">
        <v>6</v>
      </c>
      <c r="B7" s="4" t="str">
        <f>+'[1]CONSOLIDADO RF'!J11</f>
        <v>La Libertad</v>
      </c>
      <c r="C7" s="4" t="str">
        <f>+'[1]CONSOLIDADO RF'!K11</f>
        <v>Virú</v>
      </c>
      <c r="D7" s="4" t="str">
        <f>+'[1]CONSOLIDADO RF'!L11</f>
        <v>Chao</v>
      </c>
      <c r="E7" s="4" t="str">
        <f>+'[1]CONSOLIDADO RF'!N11</f>
        <v>Captación Tanguche</v>
      </c>
      <c r="F7" s="4" t="str">
        <f>+'[1]CONSOLIDADO RF'!AX11</f>
        <v>LA LIBERTAD PQ 1</v>
      </c>
      <c r="G7" s="5">
        <f>+'[1]CONSOLIDADO RF'!BL11</f>
        <v>0.502</v>
      </c>
      <c r="H7" s="4">
        <f>+'[1]CONSOLIDADO RF'!BO11</f>
        <v>15</v>
      </c>
      <c r="I7" s="4">
        <f>+'[1]CONSOLIDADO RF'!BQ11</f>
        <v>500</v>
      </c>
      <c r="J7" s="4" t="s">
        <v>11</v>
      </c>
    </row>
    <row r="8" spans="1:13" x14ac:dyDescent="0.3">
      <c r="A8" s="6">
        <v>7</v>
      </c>
      <c r="B8" s="7" t="str">
        <f>+'[1]CONSOLIDADO RF'!J12</f>
        <v>La Libertad</v>
      </c>
      <c r="C8" s="7" t="str">
        <f>+'[1]CONSOLIDADO RF'!K12</f>
        <v>Virú</v>
      </c>
      <c r="D8" s="7" t="str">
        <f>+'[1]CONSOLIDADO RF'!L12</f>
        <v>Chao</v>
      </c>
      <c r="E8" s="7" t="str">
        <f>+'[1]CONSOLIDADO RF'!N12</f>
        <v>Pantano 2 El Carmen Tanguche</v>
      </c>
      <c r="F8" s="7" t="s">
        <v>13</v>
      </c>
      <c r="G8" s="8">
        <f>+'[1]CONSOLIDADO RF'!BL12</f>
        <v>1.3</v>
      </c>
      <c r="H8" s="6">
        <f>+'[1]CONSOLIDADO RF'!BO12</f>
        <v>25</v>
      </c>
      <c r="I8" s="6">
        <f>+'[1]CONSOLIDADO RF'!BQ12</f>
        <v>35</v>
      </c>
      <c r="J8" s="7" t="s">
        <v>13</v>
      </c>
    </row>
    <row r="9" spans="1:13" x14ac:dyDescent="0.3">
      <c r="A9" s="3">
        <v>8</v>
      </c>
      <c r="B9" s="4" t="str">
        <f>+'[1]CONSOLIDADO RF'!J13</f>
        <v>La Libertad</v>
      </c>
      <c r="C9" s="4" t="str">
        <f>+'[1]CONSOLIDADO RF'!K13</f>
        <v>Virú</v>
      </c>
      <c r="D9" s="4" t="str">
        <f>+'[1]CONSOLIDADO RF'!L13</f>
        <v>Chao</v>
      </c>
      <c r="E9" s="4" t="str">
        <f>+'[1]CONSOLIDADO RF'!N13</f>
        <v>Seminario 1-Tanguche</v>
      </c>
      <c r="F9" s="4" t="s">
        <v>13</v>
      </c>
      <c r="G9" s="5">
        <f>+'[1]CONSOLIDADO RF'!BL13</f>
        <v>0.54</v>
      </c>
      <c r="H9" s="3">
        <f>+'[1]CONSOLIDADO RF'!BO13</f>
        <v>20</v>
      </c>
      <c r="I9" s="3">
        <f>+'[1]CONSOLIDADO RF'!BQ13</f>
        <v>20</v>
      </c>
      <c r="J9" s="4" t="s">
        <v>13</v>
      </c>
    </row>
    <row r="10" spans="1:13" x14ac:dyDescent="0.3">
      <c r="A10" s="3">
        <v>9</v>
      </c>
      <c r="B10" s="4" t="str">
        <f>+'[1]CONSOLIDADO RF'!J14</f>
        <v>La Libertad</v>
      </c>
      <c r="C10" s="4" t="str">
        <f>+'[1]CONSOLIDADO RF'!K14</f>
        <v>Sanchez Carrión</v>
      </c>
      <c r="D10" s="4" t="str">
        <f>+'[1]CONSOLIDADO RF'!L14</f>
        <v>Huamachuco</v>
      </c>
      <c r="E10" s="4" t="str">
        <f>+'[1]CONSOLIDADO RF'!N14</f>
        <v>San Salvador</v>
      </c>
      <c r="F10" s="4" t="str">
        <f>+'[1]CONSOLIDADO RF'!AX14</f>
        <v>LA LIBERTAD PQ 3</v>
      </c>
      <c r="G10" s="5">
        <f>+'[1]CONSOLIDADO RF'!BL14</f>
        <v>0.77600000000000002</v>
      </c>
      <c r="H10" s="4">
        <f>+'[1]CONSOLIDADO RF'!BO14</f>
        <v>50</v>
      </c>
      <c r="I10" s="4">
        <f>+'[1]CONSOLIDADO RF'!BQ14</f>
        <v>5</v>
      </c>
      <c r="J10" s="4" t="s">
        <v>10</v>
      </c>
    </row>
    <row r="11" spans="1:13" x14ac:dyDescent="0.3">
      <c r="A11" s="3">
        <v>10</v>
      </c>
      <c r="B11" s="4" t="str">
        <f>+'[1]CONSOLIDADO RF'!J15</f>
        <v>La Libertad</v>
      </c>
      <c r="C11" s="4" t="str">
        <f>+'[1]CONSOLIDADO RF'!K15</f>
        <v>Sanchez Carrión</v>
      </c>
      <c r="D11" s="4" t="str">
        <f>+'[1]CONSOLIDADO RF'!L15</f>
        <v>Huamachuco</v>
      </c>
      <c r="E11" s="4" t="str">
        <f>+'[1]CONSOLIDADO RF'!N15</f>
        <v>La Polvora</v>
      </c>
      <c r="F11" s="4" t="str">
        <f>+'[1]CONSOLIDADO RF'!AX15</f>
        <v>LA LIBERTAD PQ 3</v>
      </c>
      <c r="G11" s="5">
        <f>+'[1]CONSOLIDADO RF'!BL15</f>
        <v>0.51800000000000002</v>
      </c>
      <c r="H11" s="4">
        <f>+'[1]CONSOLIDADO RF'!BO15</f>
        <v>595</v>
      </c>
      <c r="I11" s="4">
        <f>+'[1]CONSOLIDADO RF'!BQ15</f>
        <v>0.99</v>
      </c>
      <c r="J11" s="4" t="s">
        <v>10</v>
      </c>
    </row>
    <row r="12" spans="1:13" x14ac:dyDescent="0.3">
      <c r="A12" s="3">
        <v>11</v>
      </c>
      <c r="B12" s="4" t="str">
        <f>+'[1]CONSOLIDADO RF'!J16</f>
        <v>La Libertad</v>
      </c>
      <c r="C12" s="4" t="str">
        <f>+'[1]CONSOLIDADO RF'!K16</f>
        <v>Sanchez Carrión</v>
      </c>
      <c r="D12" s="4" t="str">
        <f>+'[1]CONSOLIDADO RF'!L16</f>
        <v>Huamachuco</v>
      </c>
      <c r="E12" s="4" t="str">
        <f>+'[1]CONSOLIDADO RF'!N16</f>
        <v>Coipin</v>
      </c>
      <c r="F12" s="4" t="str">
        <f>+'[1]CONSOLIDADO RF'!AX16</f>
        <v>LA LIBERTAD PQ 3</v>
      </c>
      <c r="G12" s="5">
        <f>+'[1]CONSOLIDADO RF'!BL16</f>
        <v>5.7000000000000002E-2</v>
      </c>
      <c r="H12" s="4">
        <f>+'[1]CONSOLIDADO RF'!BO16</f>
        <v>85</v>
      </c>
      <c r="I12" s="4">
        <f>+'[1]CONSOLIDADO RF'!BQ16</f>
        <v>0</v>
      </c>
      <c r="J12" s="4" t="s">
        <v>10</v>
      </c>
    </row>
    <row r="13" spans="1:13" x14ac:dyDescent="0.3">
      <c r="A13" s="3">
        <v>12</v>
      </c>
      <c r="B13" s="4" t="str">
        <f>+'[1]CONSOLIDADO RF'!J17</f>
        <v>La Libertad</v>
      </c>
      <c r="C13" s="4" t="str">
        <f>+'[1]CONSOLIDADO RF'!K17</f>
        <v>Sanchez Carrión</v>
      </c>
      <c r="D13" s="4" t="str">
        <f>+'[1]CONSOLIDADO RF'!L17</f>
        <v>Huamachuco</v>
      </c>
      <c r="E13" s="4" t="str">
        <f>+'[1]CONSOLIDADO RF'!N17</f>
        <v>Tucupina</v>
      </c>
      <c r="F13" s="4" t="str">
        <f>+'[1]CONSOLIDADO RF'!AX17</f>
        <v>LA LIBERTAD PQ 3</v>
      </c>
      <c r="G13" s="5">
        <f>+'[1]CONSOLIDADO RF'!BL17</f>
        <v>0.49399999999999999</v>
      </c>
      <c r="H13" s="4">
        <f>+'[1]CONSOLIDADO RF'!BO17</f>
        <v>460</v>
      </c>
      <c r="I13" s="4">
        <f>+'[1]CONSOLIDADO RF'!BQ17</f>
        <v>0.56000000000000005</v>
      </c>
      <c r="J13" s="4" t="s">
        <v>10</v>
      </c>
    </row>
    <row r="14" spans="1:13" x14ac:dyDescent="0.3">
      <c r="A14" s="3">
        <v>13</v>
      </c>
      <c r="B14" s="4" t="str">
        <f>+'[1]CONSOLIDADO RF'!J18</f>
        <v>La Libertad</v>
      </c>
      <c r="C14" s="4" t="str">
        <f>+'[1]CONSOLIDADO RF'!K18</f>
        <v>Sanchez Carrión</v>
      </c>
      <c r="D14" s="4" t="str">
        <f>+'[1]CONSOLIDADO RF'!L18</f>
        <v>Sanagoran</v>
      </c>
      <c r="E14" s="4" t="str">
        <f>+'[1]CONSOLIDADO RF'!N18</f>
        <v>Sanagoran</v>
      </c>
      <c r="F14" s="4" t="str">
        <f>+'[1]CONSOLIDADO RF'!AX18</f>
        <v>LA LIBERTAD PQ 3</v>
      </c>
      <c r="G14" s="5">
        <f>+'[1]CONSOLIDADO RF'!BL18</f>
        <v>0.42899999999999999</v>
      </c>
      <c r="H14" s="4">
        <f>+'[1]CONSOLIDADO RF'!BO18</f>
        <v>405</v>
      </c>
      <c r="I14" s="4">
        <f>+'[1]CONSOLIDADO RF'!BQ18</f>
        <v>0.5</v>
      </c>
      <c r="J14" s="4" t="s">
        <v>10</v>
      </c>
    </row>
    <row r="15" spans="1:13" x14ac:dyDescent="0.3">
      <c r="A15" s="3">
        <v>14</v>
      </c>
      <c r="B15" s="4" t="str">
        <f>+'[1]CONSOLIDADO RF'!J19</f>
        <v>La Libertad</v>
      </c>
      <c r="C15" s="4" t="str">
        <f>+'[1]CONSOLIDADO RF'!K19</f>
        <v>Sanchez Carrión</v>
      </c>
      <c r="D15" s="4" t="str">
        <f>+'[1]CONSOLIDADO RF'!L19</f>
        <v>Huamachuco</v>
      </c>
      <c r="E15" s="4" t="str">
        <f>+'[1]CONSOLIDADO RF'!N19</f>
        <v>El Pallar</v>
      </c>
      <c r="F15" s="4" t="str">
        <f>+'[1]CONSOLIDADO RF'!AX19</f>
        <v>LA LIBERTAD PQ 3</v>
      </c>
      <c r="G15" s="5">
        <f>+'[1]CONSOLIDADO RF'!BL19</f>
        <v>0.38100000000000001</v>
      </c>
      <c r="H15" s="4">
        <f>+'[1]CONSOLIDADO RF'!BO19</f>
        <v>80</v>
      </c>
      <c r="I15" s="4">
        <f>+'[1]CONSOLIDADO RF'!BQ19</f>
        <v>2</v>
      </c>
      <c r="J15" s="4" t="s">
        <v>10</v>
      </c>
    </row>
    <row r="16" spans="1:13" x14ac:dyDescent="0.3">
      <c r="A16" s="3">
        <v>15</v>
      </c>
      <c r="B16" s="4" t="str">
        <f>+'[1]CONSOLIDADO RF'!J20</f>
        <v>La Libertad</v>
      </c>
      <c r="C16" s="4" t="str">
        <f>+'[1]CONSOLIDADO RF'!K20</f>
        <v>Sanchez Carrión</v>
      </c>
      <c r="D16" s="4" t="str">
        <f>+'[1]CONSOLIDADO RF'!L20</f>
        <v>Sanagoran</v>
      </c>
      <c r="E16" s="4" t="str">
        <f>+'[1]CONSOLIDADO RF'!N20</f>
        <v>Vilcas</v>
      </c>
      <c r="F16" s="4" t="str">
        <f>+'[1]CONSOLIDADO RF'!AX20</f>
        <v>LA LIBERTAD PQ 3</v>
      </c>
      <c r="G16" s="5">
        <f>+'[1]CONSOLIDADO RF'!BL20</f>
        <v>0.60499999999999998</v>
      </c>
      <c r="H16" s="4">
        <f>+'[1]CONSOLIDADO RF'!BO20</f>
        <v>130</v>
      </c>
      <c r="I16" s="4">
        <f>+'[1]CONSOLIDADO RF'!BQ20</f>
        <v>21.8</v>
      </c>
      <c r="J16" s="4" t="s">
        <v>10</v>
      </c>
    </row>
    <row r="17" spans="1:10" x14ac:dyDescent="0.3">
      <c r="A17" s="3">
        <v>16</v>
      </c>
      <c r="B17" s="4" t="str">
        <f>+'[1]CONSOLIDADO RF'!J21</f>
        <v>La Libertad</v>
      </c>
      <c r="C17" s="4" t="str">
        <f>+'[1]CONSOLIDADO RF'!K21</f>
        <v>Sanchez Carrión</v>
      </c>
      <c r="D17" s="4" t="str">
        <f>+'[1]CONSOLIDADO RF'!L21</f>
        <v>Huamachuco</v>
      </c>
      <c r="E17" s="4" t="str">
        <f>+'[1]CONSOLIDADO RF'!N21</f>
        <v>Candopata</v>
      </c>
      <c r="F17" s="4" t="str">
        <f>+'[1]CONSOLIDADO RF'!AX21</f>
        <v>LA LIBERTAD PQ 3</v>
      </c>
      <c r="G17" s="5">
        <f>+'[1]CONSOLIDADO RF'!BL21</f>
        <v>1.1319999999999999</v>
      </c>
      <c r="H17" s="4">
        <f>+'[1]CONSOLIDADO RF'!BO21</f>
        <v>960</v>
      </c>
      <c r="I17" s="4">
        <f>+'[1]CONSOLIDADO RF'!BQ21</f>
        <v>0</v>
      </c>
      <c r="J17" s="4" t="s">
        <v>10</v>
      </c>
    </row>
    <row r="18" spans="1:10" x14ac:dyDescent="0.3">
      <c r="A18" s="3">
        <v>17</v>
      </c>
      <c r="B18" s="4" t="str">
        <f>+'[1]CONSOLIDADO RF'!J22</f>
        <v>La Libertad</v>
      </c>
      <c r="C18" s="4" t="str">
        <f>+'[1]CONSOLIDADO RF'!K22</f>
        <v>Pataz</v>
      </c>
      <c r="D18" s="4" t="str">
        <f>+'[1]CONSOLIDADO RF'!L22</f>
        <v>Pataz</v>
      </c>
      <c r="E18" s="4" t="str">
        <f>+'[1]CONSOLIDADO RF'!N22</f>
        <v>Vijus</v>
      </c>
      <c r="F18" s="4" t="str">
        <f>+'[1]CONSOLIDADO RF'!AX22</f>
        <v>LA LIBERTAD PQ 3</v>
      </c>
      <c r="G18" s="5">
        <f>+'[1]CONSOLIDADO RF'!BL22</f>
        <v>3.0640000000000001</v>
      </c>
      <c r="H18" s="4">
        <f>+'[1]CONSOLIDADO RF'!BO22</f>
        <v>1200</v>
      </c>
      <c r="I18" s="4">
        <f>+'[1]CONSOLIDADO RF'!BQ22</f>
        <v>5</v>
      </c>
      <c r="J18" s="4" t="s">
        <v>10</v>
      </c>
    </row>
    <row r="19" spans="1:10" x14ac:dyDescent="0.3">
      <c r="A19" s="3">
        <v>18</v>
      </c>
      <c r="B19" s="4" t="str">
        <f>+'[1]CONSOLIDADO RF'!J23</f>
        <v>La Libertad</v>
      </c>
      <c r="C19" s="4" t="str">
        <f>+'[1]CONSOLIDADO RF'!K23</f>
        <v>Santiago de Chuco</v>
      </c>
      <c r="D19" s="4" t="str">
        <f>+'[1]CONSOLIDADO RF'!L23</f>
        <v>Sitabamba</v>
      </c>
      <c r="E19" s="4" t="str">
        <f>+'[1]CONSOLIDADO RF'!N23</f>
        <v>Sitabamba</v>
      </c>
      <c r="F19" s="4" t="str">
        <f>+'[1]CONSOLIDADO RF'!AX23</f>
        <v>LA LIBERTAD PQ 3</v>
      </c>
      <c r="G19" s="5">
        <f>+'[1]CONSOLIDADO RF'!BL23</f>
        <v>0.46899999999999997</v>
      </c>
      <c r="H19" s="4">
        <f>+'[1]CONSOLIDADO RF'!BO23</f>
        <v>60</v>
      </c>
      <c r="I19" s="4">
        <f>+'[1]CONSOLIDADO RF'!BQ23</f>
        <v>2</v>
      </c>
      <c r="J19" s="4" t="s">
        <v>10</v>
      </c>
    </row>
    <row r="20" spans="1:10" x14ac:dyDescent="0.3">
      <c r="A20" s="3">
        <v>19</v>
      </c>
      <c r="B20" s="4" t="str">
        <f>+'[1]CONSOLIDADO RF'!J24</f>
        <v>La Libertad</v>
      </c>
      <c r="C20" s="4" t="str">
        <f>+'[1]CONSOLIDADO RF'!K24</f>
        <v>Virú</v>
      </c>
      <c r="D20" s="4" t="str">
        <f>+'[1]CONSOLIDADO RF'!L24</f>
        <v>Chao</v>
      </c>
      <c r="E20" s="4" t="str">
        <f>+'[1]CONSOLIDADO RF'!N24</f>
        <v>Seminario Las Torres</v>
      </c>
      <c r="F20" s="4" t="str">
        <f>+'[1]CONSOLIDADO RF'!AX24</f>
        <v>LA LIBERTAD PQ 1</v>
      </c>
      <c r="G20" s="5">
        <f>+'[1]CONSOLIDADO RF'!BL24</f>
        <v>0.60699999999999998</v>
      </c>
      <c r="H20" s="4">
        <f>+'[1]CONSOLIDADO RF'!BO24</f>
        <v>15</v>
      </c>
      <c r="I20" s="4">
        <f>+'[1]CONSOLIDADO RF'!BQ24</f>
        <v>25</v>
      </c>
      <c r="J20" s="4" t="s">
        <v>11</v>
      </c>
    </row>
    <row r="21" spans="1:10" x14ac:dyDescent="0.3">
      <c r="A21" s="3">
        <v>20</v>
      </c>
      <c r="B21" s="4" t="str">
        <f>+'[1]CONSOLIDADO RF'!J25</f>
        <v>La Libertad</v>
      </c>
      <c r="C21" s="4" t="str">
        <f>+'[1]CONSOLIDADO RF'!K25</f>
        <v>Sanchez Carrión</v>
      </c>
      <c r="D21" s="4" t="str">
        <f>+'[1]CONSOLIDADO RF'!L25</f>
        <v>Cochorco</v>
      </c>
      <c r="E21" s="4" t="str">
        <f>+'[1]CONSOLIDADO RF'!N25</f>
        <v>La Viña</v>
      </c>
      <c r="F21" s="4" t="str">
        <f>+'[1]CONSOLIDADO RF'!AX25</f>
        <v>LA LIBERTAD PQ 3</v>
      </c>
      <c r="G21" s="5">
        <f>+'[1]CONSOLIDADO RF'!BL25</f>
        <v>0.80600000000000005</v>
      </c>
      <c r="H21" s="4">
        <f>+'[1]CONSOLIDADO RF'!BO25</f>
        <v>280</v>
      </c>
      <c r="I21" s="4">
        <f>+'[1]CONSOLIDADO RF'!BQ25</f>
        <v>35</v>
      </c>
      <c r="J21" s="4" t="s">
        <v>10</v>
      </c>
    </row>
    <row r="22" spans="1:10" x14ac:dyDescent="0.3">
      <c r="A22" s="3">
        <v>21</v>
      </c>
      <c r="B22" s="4" t="str">
        <f>+'[1]CONSOLIDADO RF'!J26</f>
        <v>La Libertad</v>
      </c>
      <c r="C22" s="4" t="str">
        <f>+'[1]CONSOLIDADO RF'!K26</f>
        <v>Sanchez Carrión</v>
      </c>
      <c r="D22" s="4" t="str">
        <f>+'[1]CONSOLIDADO RF'!L26</f>
        <v>Cochorco</v>
      </c>
      <c r="E22" s="4" t="str">
        <f>+'[1]CONSOLIDADO RF'!N26</f>
        <v>Corrales</v>
      </c>
      <c r="F22" s="4" t="str">
        <f>+'[1]CONSOLIDADO RF'!AX26</f>
        <v>LA LIBERTAD PQ 3</v>
      </c>
      <c r="G22" s="5">
        <f>+'[1]CONSOLIDADO RF'!BL26</f>
        <v>0.85899999999999999</v>
      </c>
      <c r="H22" s="4">
        <f>+'[1]CONSOLIDADO RF'!BO26</f>
        <v>240</v>
      </c>
      <c r="I22" s="4">
        <f>+'[1]CONSOLIDADO RF'!BQ26</f>
        <v>35</v>
      </c>
      <c r="J22" s="4" t="s">
        <v>10</v>
      </c>
    </row>
    <row r="23" spans="1:10" x14ac:dyDescent="0.3">
      <c r="A23" s="3">
        <v>22</v>
      </c>
      <c r="B23" s="4" t="str">
        <f>+'[1]CONSOLIDADO RF'!J27</f>
        <v>Ancash</v>
      </c>
      <c r="C23" s="4" t="str">
        <f>+'[1]CONSOLIDADO RF'!K27</f>
        <v>Sihuas</v>
      </c>
      <c r="D23" s="4" t="str">
        <f>+'[1]CONSOLIDADO RF'!L27</f>
        <v>Sihuas</v>
      </c>
      <c r="E23" s="4" t="str">
        <f>+'[1]CONSOLIDADO RF'!N27</f>
        <v>Huáscar</v>
      </c>
      <c r="F23" s="4" t="str">
        <f>+'[1]CONSOLIDADO RF'!AX27</f>
        <v>ANCASH PQ 2</v>
      </c>
      <c r="G23" s="5">
        <f>+'[1]CONSOLIDADO RF'!BL27</f>
        <v>0.317</v>
      </c>
      <c r="H23" s="4">
        <f>+'[1]CONSOLIDADO RF'!BO27</f>
        <v>200</v>
      </c>
      <c r="I23" s="4">
        <f>+'[1]CONSOLIDADO RF'!BQ27</f>
        <v>0.25</v>
      </c>
      <c r="J23" s="4" t="s">
        <v>10</v>
      </c>
    </row>
    <row r="24" spans="1:10" x14ac:dyDescent="0.3">
      <c r="A24" s="3">
        <v>23</v>
      </c>
      <c r="B24" s="4" t="str">
        <f>+'[1]CONSOLIDADO RF'!J28</f>
        <v>Ancash</v>
      </c>
      <c r="C24" s="4" t="str">
        <f>+'[1]CONSOLIDADO RF'!K28</f>
        <v>Pomabamba</v>
      </c>
      <c r="D24" s="4" t="str">
        <f>+'[1]CONSOLIDADO RF'!L28</f>
        <v>Parobamba</v>
      </c>
      <c r="E24" s="4" t="str">
        <f>+'[1]CONSOLIDADO RF'!N28</f>
        <v>Parobamba</v>
      </c>
      <c r="F24" s="4" t="str">
        <f>+'[1]CONSOLIDADO RF'!AX28</f>
        <v>ANCASH PQ 1</v>
      </c>
      <c r="G24" s="5">
        <f>+'[1]CONSOLIDADO RF'!BL28</f>
        <v>0.93799999999999994</v>
      </c>
      <c r="H24" s="4">
        <f>+'[1]CONSOLIDADO RF'!BO28</f>
        <v>135</v>
      </c>
      <c r="I24" s="4">
        <f>+'[1]CONSOLIDADO RF'!BQ28</f>
        <v>35</v>
      </c>
      <c r="J24" s="4" t="s">
        <v>10</v>
      </c>
    </row>
    <row r="25" spans="1:10" x14ac:dyDescent="0.3">
      <c r="A25" s="3">
        <v>24</v>
      </c>
      <c r="B25" s="4" t="str">
        <f>+'[1]CONSOLIDADO RF'!J29</f>
        <v>Ancash</v>
      </c>
      <c r="C25" s="4" t="str">
        <f>+'[1]CONSOLIDADO RF'!K29</f>
        <v>Mariscal Luzuriaga</v>
      </c>
      <c r="D25" s="4" t="str">
        <f>+'[1]CONSOLIDADO RF'!L29</f>
        <v xml:space="preserve">Lucma </v>
      </c>
      <c r="E25" s="4" t="str">
        <f>+'[1]CONSOLIDADO RF'!N29</f>
        <v xml:space="preserve">Charac </v>
      </c>
      <c r="F25" s="4" t="str">
        <f>+'[1]CONSOLIDADO RF'!AX29</f>
        <v>ANCASH PQ 2</v>
      </c>
      <c r="G25" s="5">
        <f>+'[1]CONSOLIDADO RF'!BL29</f>
        <v>0.36845</v>
      </c>
      <c r="H25" s="4">
        <f>+'[1]CONSOLIDADO RF'!BO29</f>
        <v>400</v>
      </c>
      <c r="I25" s="4">
        <f>+'[1]CONSOLIDADO RF'!BQ29</f>
        <v>6</v>
      </c>
      <c r="J25" s="4" t="s">
        <v>10</v>
      </c>
    </row>
    <row r="26" spans="1:10" x14ac:dyDescent="0.3">
      <c r="A26" s="3">
        <v>25</v>
      </c>
      <c r="B26" s="4" t="str">
        <f>+'[1]CONSOLIDADO RF'!J30</f>
        <v>Ancash</v>
      </c>
      <c r="C26" s="4" t="str">
        <f>+'[1]CONSOLIDADO RF'!K30</f>
        <v>Mariscal Luzuriaga</v>
      </c>
      <c r="D26" s="4" t="str">
        <f>+'[1]CONSOLIDADO RF'!L30</f>
        <v xml:space="preserve">Lucma </v>
      </c>
      <c r="E26" s="4" t="str">
        <f>+'[1]CONSOLIDADO RF'!N30</f>
        <v>Masqui</v>
      </c>
      <c r="F26" s="4" t="str">
        <f>+'[1]CONSOLIDADO RF'!AX30</f>
        <v>ANCASH PQ 2</v>
      </c>
      <c r="G26" s="5">
        <f>+'[1]CONSOLIDADO RF'!BL30</f>
        <v>1.1167100000000001</v>
      </c>
      <c r="H26" s="4">
        <f>+'[1]CONSOLIDADO RF'!BO30</f>
        <v>1200</v>
      </c>
      <c r="I26" s="4">
        <f>+'[1]CONSOLIDADO RF'!BQ30</f>
        <v>18</v>
      </c>
      <c r="J26" s="4" t="s">
        <v>10</v>
      </c>
    </row>
    <row r="27" spans="1:10" x14ac:dyDescent="0.3">
      <c r="A27" s="3">
        <v>26</v>
      </c>
      <c r="B27" s="4" t="str">
        <f>+'[1]CONSOLIDADO RF'!J31</f>
        <v>Ancash</v>
      </c>
      <c r="C27" s="4" t="str">
        <f>+'[1]CONSOLIDADO RF'!K31</f>
        <v>Mariscal Luzuriaga</v>
      </c>
      <c r="D27" s="4" t="str">
        <f>+'[1]CONSOLIDADO RF'!L31</f>
        <v xml:space="preserve">Lucma </v>
      </c>
      <c r="E27" s="4" t="str">
        <f>+'[1]CONSOLIDADO RF'!N31</f>
        <v>Quishuar</v>
      </c>
      <c r="F27" s="4" t="str">
        <f>+'[1]CONSOLIDADO RF'!AX31</f>
        <v>ANCASH PQ 2</v>
      </c>
      <c r="G27" s="5">
        <f>+'[1]CONSOLIDADO RF'!BL31</f>
        <v>0.2203</v>
      </c>
      <c r="H27" s="4">
        <f>+'[1]CONSOLIDADO RF'!BO31</f>
        <v>12</v>
      </c>
      <c r="I27" s="4">
        <f>+'[1]CONSOLIDADO RF'!BQ31</f>
        <v>0</v>
      </c>
      <c r="J27" s="4" t="s">
        <v>10</v>
      </c>
    </row>
    <row r="28" spans="1:10" x14ac:dyDescent="0.3">
      <c r="A28" s="3">
        <v>27</v>
      </c>
      <c r="B28" s="4" t="str">
        <f>+'[1]CONSOLIDADO RF'!J32</f>
        <v>Ancash</v>
      </c>
      <c r="C28" s="4" t="str">
        <f>+'[1]CONSOLIDADO RF'!K32</f>
        <v>Sihuas</v>
      </c>
      <c r="D28" s="4" t="str">
        <f>+'[1]CONSOLIDADO RF'!L32</f>
        <v>Sihuas</v>
      </c>
      <c r="E28" s="4" t="str">
        <f>+'[1]CONSOLIDADO RF'!N32</f>
        <v>Lucerito-Chirimoyo</v>
      </c>
      <c r="F28" s="4" t="str">
        <f>+'[1]CONSOLIDADO RF'!AX32</f>
        <v>ANCASH PQ 2</v>
      </c>
      <c r="G28" s="5">
        <f>+'[1]CONSOLIDADO RF'!BL32</f>
        <v>0.88</v>
      </c>
      <c r="H28" s="4">
        <f>+'[1]CONSOLIDADO RF'!BO32</f>
        <v>250</v>
      </c>
      <c r="I28" s="4">
        <f>+'[1]CONSOLIDADO RF'!BQ32</f>
        <v>25</v>
      </c>
      <c r="J28" s="4" t="s">
        <v>10</v>
      </c>
    </row>
    <row r="29" spans="1:10" x14ac:dyDescent="0.3">
      <c r="A29" s="3">
        <v>28</v>
      </c>
      <c r="B29" s="4" t="str">
        <f>+'[1]CONSOLIDADO RF'!J33</f>
        <v>Ancash</v>
      </c>
      <c r="C29" s="4" t="str">
        <f>+'[1]CONSOLIDADO RF'!K33</f>
        <v>Sihuas</v>
      </c>
      <c r="D29" s="4" t="str">
        <f>+'[1]CONSOLIDADO RF'!L33</f>
        <v>Sihuas</v>
      </c>
      <c r="E29" s="4" t="str">
        <f>+'[1]CONSOLIDADO RF'!N33</f>
        <v>Mitobamba</v>
      </c>
      <c r="F29" s="4" t="str">
        <f>+'[1]CONSOLIDADO RF'!AX33</f>
        <v>ANCASH PQ 2</v>
      </c>
      <c r="G29" s="5">
        <f>+'[1]CONSOLIDADO RF'!BL33</f>
        <v>1.6739999999999999</v>
      </c>
      <c r="H29" s="4">
        <f>+'[1]CONSOLIDADO RF'!BO33</f>
        <v>50</v>
      </c>
      <c r="I29" s="4">
        <f>+'[1]CONSOLIDADO RF'!BQ33</f>
        <v>0</v>
      </c>
      <c r="J29" s="4" t="s">
        <v>10</v>
      </c>
    </row>
    <row r="30" spans="1:10" x14ac:dyDescent="0.3">
      <c r="A30" s="3">
        <v>29</v>
      </c>
      <c r="B30" s="4" t="str">
        <f>+'[1]CONSOLIDADO RF'!J34</f>
        <v>Ancash</v>
      </c>
      <c r="C30" s="4" t="str">
        <f>+'[1]CONSOLIDADO RF'!K34</f>
        <v>Pomabamba</v>
      </c>
      <c r="D30" s="4" t="str">
        <f>+'[1]CONSOLIDADO RF'!L34</f>
        <v>Pomabamba</v>
      </c>
      <c r="E30" s="4" t="str">
        <f>+'[1]CONSOLIDADO RF'!N34</f>
        <v>Geusha-Angascancha</v>
      </c>
      <c r="F30" s="4" t="str">
        <f>+'[1]CONSOLIDADO RF'!AX34</f>
        <v>ANCASH PQ 1</v>
      </c>
      <c r="G30" s="5">
        <f>+'[1]CONSOLIDADO RF'!BL34</f>
        <v>5.9189999999999996</v>
      </c>
      <c r="H30" s="4">
        <f>+'[1]CONSOLIDADO RF'!BO34</f>
        <v>320</v>
      </c>
      <c r="I30" s="4">
        <f>+'[1]CONSOLIDADO RF'!BQ34</f>
        <v>25</v>
      </c>
      <c r="J30" s="4" t="s">
        <v>11</v>
      </c>
    </row>
    <row r="31" spans="1:10" x14ac:dyDescent="0.3">
      <c r="A31" s="3">
        <v>30</v>
      </c>
      <c r="B31" s="4" t="str">
        <f>+'[1]CONSOLIDADO RF'!J35</f>
        <v>Ancash</v>
      </c>
      <c r="C31" s="4" t="str">
        <f>+'[1]CONSOLIDADO RF'!K35</f>
        <v>Pomabamba</v>
      </c>
      <c r="D31" s="4" t="str">
        <f>+'[1]CONSOLIDADO RF'!L35</f>
        <v>Pomabamba</v>
      </c>
      <c r="E31" s="4" t="str">
        <f>+'[1]CONSOLIDADO RF'!N35</f>
        <v>Parco</v>
      </c>
      <c r="F31" s="4" t="str">
        <f>+'[1]CONSOLIDADO RF'!AX35</f>
        <v>ANCASH PQ 1</v>
      </c>
      <c r="G31" s="5">
        <f>+'[1]CONSOLIDADO RF'!BL35</f>
        <v>0.35599999999999998</v>
      </c>
      <c r="H31" s="4">
        <f>+'[1]CONSOLIDADO RF'!BO35</f>
        <v>240</v>
      </c>
      <c r="I31" s="4">
        <f>+'[1]CONSOLIDADO RF'!BQ35</f>
        <v>60</v>
      </c>
      <c r="J31" s="4" t="s">
        <v>11</v>
      </c>
    </row>
    <row r="32" spans="1:10" x14ac:dyDescent="0.3">
      <c r="A32" s="3">
        <v>31</v>
      </c>
      <c r="B32" s="4" t="str">
        <f>+'[1]CONSOLIDADO RF'!J36</f>
        <v>Ancash</v>
      </c>
      <c r="C32" s="4" t="str">
        <f>+'[1]CONSOLIDADO RF'!K36</f>
        <v>Pomabamba</v>
      </c>
      <c r="D32" s="4" t="str">
        <f>+'[1]CONSOLIDADO RF'!L36</f>
        <v>Pomabamba</v>
      </c>
      <c r="E32" s="4" t="str">
        <f>+'[1]CONSOLIDADO RF'!N36</f>
        <v>Jancapampa</v>
      </c>
      <c r="F32" s="4" t="str">
        <f>+'[1]CONSOLIDADO RF'!AX36</f>
        <v>ANCASH PQ 1</v>
      </c>
      <c r="G32" s="5">
        <f>+'[1]CONSOLIDADO RF'!BL36</f>
        <v>0.77200000000000002</v>
      </c>
      <c r="H32" s="4">
        <f>+'[1]CONSOLIDADO RF'!BO36</f>
        <v>200</v>
      </c>
      <c r="I32" s="4">
        <f>+'[1]CONSOLIDADO RF'!BQ36</f>
        <v>50</v>
      </c>
      <c r="J32" s="4" t="s">
        <v>11</v>
      </c>
    </row>
    <row r="33" spans="1:10" x14ac:dyDescent="0.3">
      <c r="A33" s="3">
        <v>32</v>
      </c>
      <c r="B33" s="4" t="str">
        <f>+'[1]CONSOLIDADO RF'!J37</f>
        <v>Ancash</v>
      </c>
      <c r="C33" s="4" t="str">
        <f>+'[1]CONSOLIDADO RF'!K37</f>
        <v>Huari</v>
      </c>
      <c r="D33" s="4" t="str">
        <f>+'[1]CONSOLIDADO RF'!L37</f>
        <v>Uco</v>
      </c>
      <c r="E33" s="4" t="str">
        <f>+'[1]CONSOLIDADO RF'!N37</f>
        <v>Tarapampa</v>
      </c>
      <c r="F33" s="4" t="str">
        <f>+'[1]CONSOLIDADO RF'!AX37</f>
        <v>ANCASH PQ 2</v>
      </c>
      <c r="G33" s="5">
        <f>+'[1]CONSOLIDADO RF'!BL37</f>
        <v>0.2</v>
      </c>
      <c r="H33" s="4">
        <f>+'[1]CONSOLIDADO RF'!BO37</f>
        <v>0</v>
      </c>
      <c r="I33" s="4">
        <f>+'[1]CONSOLIDADO RF'!BQ37</f>
        <v>4</v>
      </c>
      <c r="J33" s="4" t="s">
        <v>10</v>
      </c>
    </row>
    <row r="34" spans="1:10" x14ac:dyDescent="0.3">
      <c r="A34" s="3">
        <v>33</v>
      </c>
      <c r="B34" s="4" t="str">
        <f>+'[1]CONSOLIDADO RF'!J38</f>
        <v>Ancash</v>
      </c>
      <c r="C34" s="4" t="str">
        <f>+'[1]CONSOLIDADO RF'!K38</f>
        <v>Bolognesi</v>
      </c>
      <c r="D34" s="4" t="str">
        <f>+'[1]CONSOLIDADO RF'!L38</f>
        <v>Huasta</v>
      </c>
      <c r="E34" s="4" t="str">
        <f>+'[1]CONSOLIDADO RF'!N38</f>
        <v>San Isidro</v>
      </c>
      <c r="F34" s="4" t="str">
        <f>+'[1]CONSOLIDADO RF'!AX38</f>
        <v>ANCASH PQ 1</v>
      </c>
      <c r="G34" s="5">
        <f>+'[1]CONSOLIDADO RF'!BL38</f>
        <v>0.24399999999999999</v>
      </c>
      <c r="H34" s="4">
        <f>+'[1]CONSOLIDADO RF'!BO38</f>
        <v>305</v>
      </c>
      <c r="I34" s="4">
        <f>+'[1]CONSOLIDADO RF'!BQ38</f>
        <v>0</v>
      </c>
      <c r="J34" s="4" t="s">
        <v>10</v>
      </c>
    </row>
    <row r="35" spans="1:10" x14ac:dyDescent="0.3">
      <c r="A35" s="3">
        <v>34</v>
      </c>
      <c r="B35" s="4" t="str">
        <f>+'[1]CONSOLIDADO RF'!J39</f>
        <v>Lima</v>
      </c>
      <c r="C35" s="4" t="str">
        <f>+'[1]CONSOLIDADO RF'!K39</f>
        <v>Huarochiri</v>
      </c>
      <c r="D35" s="4" t="str">
        <f>+'[1]CONSOLIDADO RF'!L39</f>
        <v>Huachupampa</v>
      </c>
      <c r="E35" s="4" t="str">
        <f>+'[1]CONSOLIDADO RF'!N39</f>
        <v>Autisha</v>
      </c>
      <c r="F35" s="4" t="str">
        <f>+'[1]CONSOLIDADO RF'!AX39</f>
        <v>LIMA PQ 5</v>
      </c>
      <c r="G35" s="5">
        <f>+'[1]CONSOLIDADO RF'!BL39</f>
        <v>1</v>
      </c>
      <c r="H35" s="4">
        <f>+'[1]CONSOLIDADO RF'!BO39</f>
        <v>12</v>
      </c>
      <c r="I35" s="4">
        <f>+'[1]CONSOLIDADO RF'!BQ39</f>
        <v>45</v>
      </c>
      <c r="J35" s="4" t="s">
        <v>11</v>
      </c>
    </row>
    <row r="36" spans="1:10" x14ac:dyDescent="0.3">
      <c r="A36" s="3">
        <v>35</v>
      </c>
      <c r="B36" s="4" t="str">
        <f>+'[1]CONSOLIDADO RF'!J40</f>
        <v>Lima</v>
      </c>
      <c r="C36" s="4" t="str">
        <f>+'[1]CONSOLIDADO RF'!K40</f>
        <v>Huarochiri</v>
      </c>
      <c r="D36" s="4" t="str">
        <f>+'[1]CONSOLIDADO RF'!L40</f>
        <v>Huachupampa</v>
      </c>
      <c r="E36" s="4" t="str">
        <f>+'[1]CONSOLIDADO RF'!N40</f>
        <v>Pongo</v>
      </c>
      <c r="F36" s="4" t="str">
        <f>+'[1]CONSOLIDADO RF'!AX40</f>
        <v>LIMA PQ 5</v>
      </c>
      <c r="G36" s="5">
        <f>+'[1]CONSOLIDADO RF'!BL40</f>
        <v>0.61</v>
      </c>
      <c r="H36" s="4">
        <f>+'[1]CONSOLIDADO RF'!BO40</f>
        <v>25</v>
      </c>
      <c r="I36" s="4">
        <f>+'[1]CONSOLIDADO RF'!BQ40</f>
        <v>20</v>
      </c>
      <c r="J36" s="4" t="s">
        <v>11</v>
      </c>
    </row>
    <row r="37" spans="1:10" x14ac:dyDescent="0.3">
      <c r="A37" s="3">
        <v>36</v>
      </c>
      <c r="B37" s="4" t="str">
        <f>+'[1]CONSOLIDADO RF'!J41</f>
        <v>Lima</v>
      </c>
      <c r="C37" s="4" t="str">
        <f>+'[1]CONSOLIDADO RF'!K41</f>
        <v>Huaral</v>
      </c>
      <c r="D37" s="4" t="str">
        <f>+'[1]CONSOLIDADO RF'!L41</f>
        <v>Atavillos Bajo</v>
      </c>
      <c r="E37" s="4" t="str">
        <f>+'[1]CONSOLIDADO RF'!N41</f>
        <v>Rampe II</v>
      </c>
      <c r="F37" s="4" t="str">
        <f>+'[1]CONSOLIDADO RF'!AX41</f>
        <v>LIMA PQ 4</v>
      </c>
      <c r="G37" s="5">
        <f>+'[1]CONSOLIDADO RF'!BL41</f>
        <v>0.1</v>
      </c>
      <c r="H37" s="4">
        <f>+'[1]CONSOLIDADO RF'!BO41</f>
        <v>160</v>
      </c>
      <c r="I37" s="4">
        <f>+'[1]CONSOLIDADO RF'!BQ41</f>
        <v>2</v>
      </c>
      <c r="J37" s="4" t="s">
        <v>10</v>
      </c>
    </row>
    <row r="38" spans="1:10" x14ac:dyDescent="0.3">
      <c r="A38" s="3">
        <v>37</v>
      </c>
      <c r="B38" s="4" t="str">
        <f>+'[1]CONSOLIDADO RF'!J42</f>
        <v>Lima</v>
      </c>
      <c r="C38" s="4" t="str">
        <f>+'[1]CONSOLIDADO RF'!K42</f>
        <v>Huaral</v>
      </c>
      <c r="D38" s="4" t="str">
        <f>+'[1]CONSOLIDADO RF'!L42</f>
        <v>Atavillos Bajo</v>
      </c>
      <c r="E38" s="4" t="str">
        <f>+'[1]CONSOLIDADO RF'!N42</f>
        <v>Huayopampa</v>
      </c>
      <c r="F38" s="4" t="str">
        <f>+'[1]CONSOLIDADO RF'!AX42</f>
        <v>LIMA PQ 4</v>
      </c>
      <c r="G38" s="5">
        <f>+'[1]CONSOLIDADO RF'!BL42</f>
        <v>0.15</v>
      </c>
      <c r="H38" s="4">
        <f>+'[1]CONSOLIDADO RF'!BO42</f>
        <v>156</v>
      </c>
      <c r="I38" s="4">
        <f>+'[1]CONSOLIDADO RF'!BQ42</f>
        <v>1.5</v>
      </c>
      <c r="J38" s="4" t="s">
        <v>10</v>
      </c>
    </row>
    <row r="39" spans="1:10" x14ac:dyDescent="0.3">
      <c r="A39" s="3">
        <v>38</v>
      </c>
      <c r="B39" s="4" t="str">
        <f>+'[1]CONSOLIDADO RF'!J43</f>
        <v>Lima</v>
      </c>
      <c r="C39" s="4" t="str">
        <f>+'[1]CONSOLIDADO RF'!K43</f>
        <v>Huaral</v>
      </c>
      <c r="D39" s="4" t="str">
        <f>+'[1]CONSOLIDADO RF'!L43</f>
        <v>Atavillos Bajo</v>
      </c>
      <c r="E39" s="4" t="str">
        <f>+'[1]CONSOLIDADO RF'!N43</f>
        <v>Cutopuquio-La Perla</v>
      </c>
      <c r="F39" s="4" t="str">
        <f>+'[1]CONSOLIDADO RF'!AX43</f>
        <v>LIMA PQ 4</v>
      </c>
      <c r="G39" s="5">
        <f>+'[1]CONSOLIDADO RF'!BL43</f>
        <v>0.22</v>
      </c>
      <c r="H39" s="4">
        <f>+'[1]CONSOLIDADO RF'!BO43</f>
        <v>66</v>
      </c>
      <c r="I39" s="4">
        <f>+'[1]CONSOLIDADO RF'!BQ43</f>
        <v>1.4</v>
      </c>
      <c r="J39" s="4" t="s">
        <v>10</v>
      </c>
    </row>
    <row r="40" spans="1:10" x14ac:dyDescent="0.3">
      <c r="A40" s="3">
        <v>39</v>
      </c>
      <c r="B40" s="4" t="str">
        <f>+'[1]CONSOLIDADO RF'!J44</f>
        <v>Lima</v>
      </c>
      <c r="C40" s="4" t="str">
        <f>+'[1]CONSOLIDADO RF'!K44</f>
        <v>Huaral</v>
      </c>
      <c r="D40" s="4" t="str">
        <f>+'[1]CONSOLIDADO RF'!L44</f>
        <v>Atavillos Bajo</v>
      </c>
      <c r="E40" s="4" t="str">
        <f>+'[1]CONSOLIDADO RF'!N44</f>
        <v>Pichiquillin-La Perla</v>
      </c>
      <c r="F40" s="4" t="str">
        <f>+'[1]CONSOLIDADO RF'!AX44</f>
        <v>LIMA PQ 4</v>
      </c>
      <c r="G40" s="5">
        <f>+'[1]CONSOLIDADO RF'!BL44</f>
        <v>0.1</v>
      </c>
      <c r="H40" s="4">
        <f>+'[1]CONSOLIDADO RF'!BO44</f>
        <v>81</v>
      </c>
      <c r="I40" s="4">
        <f>+'[1]CONSOLIDADO RF'!BQ44</f>
        <v>7</v>
      </c>
      <c r="J40" s="4" t="s">
        <v>10</v>
      </c>
    </row>
    <row r="41" spans="1:10" x14ac:dyDescent="0.3">
      <c r="A41" s="3">
        <v>40</v>
      </c>
      <c r="B41" s="4" t="str">
        <f>+'[1]CONSOLIDADO RF'!J45</f>
        <v>Lima</v>
      </c>
      <c r="C41" s="4" t="str">
        <f>+'[1]CONSOLIDADO RF'!K45</f>
        <v>Huaral</v>
      </c>
      <c r="D41" s="4" t="str">
        <f>+'[1]CONSOLIDADO RF'!L45</f>
        <v>Sumbilca</v>
      </c>
      <c r="E41" s="4" t="str">
        <f>+'[1]CONSOLIDADO RF'!N45</f>
        <v>Puente La Perla</v>
      </c>
      <c r="F41" s="4" t="str">
        <f>+'[1]CONSOLIDADO RF'!AX45</f>
        <v>LIMA PQ 4</v>
      </c>
      <c r="G41" s="5">
        <f>+'[1]CONSOLIDADO RF'!BL45</f>
        <v>0.34</v>
      </c>
      <c r="H41" s="4">
        <f>+'[1]CONSOLIDADO RF'!BO45</f>
        <v>66</v>
      </c>
      <c r="I41" s="4">
        <f>+'[1]CONSOLIDADO RF'!BQ45</f>
        <v>1.4</v>
      </c>
      <c r="J41" s="4" t="s">
        <v>10</v>
      </c>
    </row>
    <row r="42" spans="1:10" x14ac:dyDescent="0.3">
      <c r="A42" s="3">
        <v>41</v>
      </c>
      <c r="B42" s="4" t="str">
        <f>+'[1]CONSOLIDADO RF'!J46</f>
        <v>Lima</v>
      </c>
      <c r="C42" s="4" t="str">
        <f>+'[1]CONSOLIDADO RF'!K46</f>
        <v>Huaral</v>
      </c>
      <c r="D42" s="4" t="str">
        <f>+'[1]CONSOLIDADO RF'!L46</f>
        <v>Sumbilca</v>
      </c>
      <c r="E42" s="4" t="str">
        <f>+'[1]CONSOLIDADO RF'!N46</f>
        <v>Inquirhuay-Cucapunco</v>
      </c>
      <c r="F42" s="4" t="str">
        <f>+'[1]CONSOLIDADO RF'!AX46</f>
        <v>LIMA PQ 7</v>
      </c>
      <c r="G42" s="5">
        <f>+'[1]CONSOLIDADO RF'!BL46</f>
        <v>0.2</v>
      </c>
      <c r="H42" s="4">
        <f>+'[1]CONSOLIDADO RF'!BO46</f>
        <v>0</v>
      </c>
      <c r="I42" s="4">
        <f>+'[1]CONSOLIDADO RF'!BQ46</f>
        <v>10.199999999999999</v>
      </c>
      <c r="J42" s="4" t="s">
        <v>10</v>
      </c>
    </row>
    <row r="43" spans="1:10" x14ac:dyDescent="0.3">
      <c r="A43" s="3">
        <v>42</v>
      </c>
      <c r="B43" s="4" t="str">
        <f>+'[1]CONSOLIDADO RF'!J47</f>
        <v>Lima</v>
      </c>
      <c r="C43" s="4" t="str">
        <f>+'[1]CONSOLIDADO RF'!K47</f>
        <v>Huaral</v>
      </c>
      <c r="D43" s="4" t="str">
        <f>+'[1]CONSOLIDADO RF'!L47</f>
        <v>Sumbilca</v>
      </c>
      <c r="E43" s="4" t="str">
        <f>+'[1]CONSOLIDADO RF'!N47</f>
        <v>Jillichuy-Cucapunco</v>
      </c>
      <c r="F43" s="4" t="str">
        <f>+'[1]CONSOLIDADO RF'!AX47</f>
        <v>LIMA PQ 7</v>
      </c>
      <c r="G43" s="5">
        <f>+'[1]CONSOLIDADO RF'!BL47</f>
        <v>0.32</v>
      </c>
      <c r="H43" s="4">
        <f>+'[1]CONSOLIDADO RF'!BO47</f>
        <v>0</v>
      </c>
      <c r="I43" s="4">
        <f>+'[1]CONSOLIDADO RF'!BQ47</f>
        <v>0</v>
      </c>
      <c r="J43" s="4" t="s">
        <v>10</v>
      </c>
    </row>
    <row r="44" spans="1:10" x14ac:dyDescent="0.3">
      <c r="A44" s="3">
        <v>43</v>
      </c>
      <c r="B44" s="4" t="str">
        <f>+'[1]CONSOLIDADO RF'!J48</f>
        <v>Lima</v>
      </c>
      <c r="C44" s="4" t="str">
        <f>+'[1]CONSOLIDADO RF'!K48</f>
        <v>Huaral</v>
      </c>
      <c r="D44" s="4" t="str">
        <f>+'[1]CONSOLIDADO RF'!L48</f>
        <v>San Miguel De Acos</v>
      </c>
      <c r="E44" s="4" t="str">
        <f>+'[1]CONSOLIDADO RF'!N48</f>
        <v>Puente Oquendo</v>
      </c>
      <c r="F44" s="4" t="str">
        <f>+'[1]CONSOLIDADO RF'!AX48</f>
        <v>LIMA PQ 4</v>
      </c>
      <c r="G44" s="5">
        <f>+'[1]CONSOLIDADO RF'!BL48</f>
        <v>1.18</v>
      </c>
      <c r="H44" s="4">
        <f>+'[1]CONSOLIDADO RF'!BO48</f>
        <v>320</v>
      </c>
      <c r="I44" s="4">
        <f>+'[1]CONSOLIDADO RF'!BQ48</f>
        <v>24</v>
      </c>
      <c r="J44" s="4" t="s">
        <v>10</v>
      </c>
    </row>
    <row r="45" spans="1:10" x14ac:dyDescent="0.3">
      <c r="A45" s="3">
        <v>44</v>
      </c>
      <c r="B45" s="4" t="str">
        <f>+'[1]CONSOLIDADO RF'!J49</f>
        <v>Lima</v>
      </c>
      <c r="C45" s="4" t="str">
        <f>+'[1]CONSOLIDADO RF'!K49</f>
        <v>Huaral</v>
      </c>
      <c r="D45" s="4" t="str">
        <f>+'[1]CONSOLIDADO RF'!L49</f>
        <v>San Miguel De Acos</v>
      </c>
      <c r="E45" s="4" t="str">
        <f>+'[1]CONSOLIDADO RF'!N49</f>
        <v>Puente Acos-Río Chancay Huaral</v>
      </c>
      <c r="F45" s="4" t="str">
        <f>+'[1]CONSOLIDADO RF'!AX49</f>
        <v>LIMA PQ 4</v>
      </c>
      <c r="G45" s="5">
        <f>+'[1]CONSOLIDADO RF'!BL49</f>
        <v>0.36</v>
      </c>
      <c r="H45" s="4">
        <f>+'[1]CONSOLIDADO RF'!BO49</f>
        <v>5</v>
      </c>
      <c r="I45" s="4">
        <f>+'[1]CONSOLIDADO RF'!BQ49</f>
        <v>3.6</v>
      </c>
      <c r="J45" s="4" t="s">
        <v>10</v>
      </c>
    </row>
    <row r="46" spans="1:10" x14ac:dyDescent="0.3">
      <c r="A46" s="3">
        <v>45</v>
      </c>
      <c r="B46" s="4" t="str">
        <f>+'[1]CONSOLIDADO RF'!J50</f>
        <v>Lima</v>
      </c>
      <c r="C46" s="4" t="str">
        <f>+'[1]CONSOLIDADO RF'!K50</f>
        <v>Huaral</v>
      </c>
      <c r="D46" s="4" t="str">
        <f>+'[1]CONSOLIDADO RF'!L50</f>
        <v>Sumbilca</v>
      </c>
      <c r="E46" s="4" t="str">
        <f>+'[1]CONSOLIDADO RF'!N50</f>
        <v>Cucapunco-Margen izquierda</v>
      </c>
      <c r="F46" s="4" t="str">
        <f>+'[1]CONSOLIDADO RF'!AX50</f>
        <v>LIMA PQ 4</v>
      </c>
      <c r="G46" s="5">
        <f>+'[1]CONSOLIDADO RF'!BL50</f>
        <v>0.37</v>
      </c>
      <c r="H46" s="4">
        <f>+'[1]CONSOLIDADO RF'!BO50</f>
        <v>201</v>
      </c>
      <c r="I46" s="4">
        <f>+'[1]CONSOLIDADO RF'!BQ50</f>
        <v>0</v>
      </c>
      <c r="J46" s="4" t="s">
        <v>10</v>
      </c>
    </row>
    <row r="47" spans="1:10" x14ac:dyDescent="0.3">
      <c r="A47" s="3">
        <v>46</v>
      </c>
      <c r="B47" s="4" t="str">
        <f>+'[1]CONSOLIDADO RF'!J51</f>
        <v>Lima</v>
      </c>
      <c r="C47" s="4" t="str">
        <f>+'[1]CONSOLIDADO RF'!K51</f>
        <v>Huaral</v>
      </c>
      <c r="D47" s="4" t="str">
        <f>+'[1]CONSOLIDADO RF'!L51</f>
        <v>Sumbilca</v>
      </c>
      <c r="E47" s="4" t="str">
        <f>+'[1]CONSOLIDADO RF'!N51</f>
        <v>Huaranguito</v>
      </c>
      <c r="F47" s="4" t="str">
        <f>+'[1]CONSOLIDADO RF'!AX51</f>
        <v>LIMA PQ 4</v>
      </c>
      <c r="G47" s="5">
        <f>+'[1]CONSOLIDADO RF'!BL51</f>
        <v>0.06</v>
      </c>
      <c r="H47" s="4">
        <f>+'[1]CONSOLIDADO RF'!BO51</f>
        <v>0</v>
      </c>
      <c r="I47" s="4">
        <f>+'[1]CONSOLIDADO RF'!BQ51</f>
        <v>0.8</v>
      </c>
      <c r="J47" s="4" t="s">
        <v>10</v>
      </c>
    </row>
    <row r="48" spans="1:10" x14ac:dyDescent="0.3">
      <c r="A48" s="3">
        <v>47</v>
      </c>
      <c r="B48" s="4" t="str">
        <f>+'[1]CONSOLIDADO RF'!J52</f>
        <v>Lima</v>
      </c>
      <c r="C48" s="4" t="str">
        <f>+'[1]CONSOLIDADO RF'!K52</f>
        <v>Huaral</v>
      </c>
      <c r="D48" s="4" t="str">
        <f>+'[1]CONSOLIDADO RF'!L52</f>
        <v>Sumbilca</v>
      </c>
      <c r="E48" s="4" t="str">
        <f>+'[1]CONSOLIDADO RF'!N52</f>
        <v>Cucapunco</v>
      </c>
      <c r="F48" s="4" t="str">
        <f>+'[1]CONSOLIDADO RF'!AX52</f>
        <v>LIMA PQ 7</v>
      </c>
      <c r="G48" s="5">
        <f>+'[1]CONSOLIDADO RF'!BL52</f>
        <v>4.4999999999999998E-2</v>
      </c>
      <c r="H48" s="4">
        <f>+'[1]CONSOLIDADO RF'!BO52</f>
        <v>0</v>
      </c>
      <c r="I48" s="4">
        <f>+'[1]CONSOLIDADO RF'!BQ52</f>
        <v>10.199999999999999</v>
      </c>
      <c r="J48" s="4" t="s">
        <v>10</v>
      </c>
    </row>
    <row r="49" spans="1:10" x14ac:dyDescent="0.3">
      <c r="A49" s="3">
        <v>48</v>
      </c>
      <c r="B49" s="4" t="str">
        <f>+'[1]CONSOLIDADO RF'!J53</f>
        <v>Lima</v>
      </c>
      <c r="C49" s="4" t="str">
        <f>+'[1]CONSOLIDADO RF'!K53</f>
        <v>Huaral</v>
      </c>
      <c r="D49" s="4" t="str">
        <f>+'[1]CONSOLIDADO RF'!L53</f>
        <v>Aucallama</v>
      </c>
      <c r="E49" s="4" t="str">
        <f>+'[1]CONSOLIDADO RF'!N53</f>
        <v>Rompetoldo-Pacaybamba</v>
      </c>
      <c r="F49" s="4" t="str">
        <f>+'[1]CONSOLIDADO RF'!AX53</f>
        <v>LIMA PQ 6</v>
      </c>
      <c r="G49" s="5">
        <f>+'[1]CONSOLIDADO RF'!BL53</f>
        <v>0.38</v>
      </c>
      <c r="H49" s="4">
        <f>+'[1]CONSOLIDADO RF'!BO53</f>
        <v>4</v>
      </c>
      <c r="I49" s="4">
        <f>+'[1]CONSOLIDADO RF'!BQ53</f>
        <v>156</v>
      </c>
      <c r="J49" s="4" t="s">
        <v>10</v>
      </c>
    </row>
    <row r="50" spans="1:10" x14ac:dyDescent="0.3">
      <c r="A50" s="3">
        <v>49</v>
      </c>
      <c r="B50" s="4" t="str">
        <f>+'[1]CONSOLIDADO RF'!J54</f>
        <v>Lima</v>
      </c>
      <c r="C50" s="4" t="str">
        <f>+'[1]CONSOLIDADO RF'!K54</f>
        <v>Huaral</v>
      </c>
      <c r="D50" s="4" t="str">
        <f>+'[1]CONSOLIDADO RF'!L54</f>
        <v>Sumbilca</v>
      </c>
      <c r="E50" s="4" t="str">
        <f>+'[1]CONSOLIDADO RF'!N54</f>
        <v>Cerro Burro Alancho</v>
      </c>
      <c r="F50" s="4" t="str">
        <f>+'[1]CONSOLIDADO RF'!AX54</f>
        <v>LIMA PQ 4</v>
      </c>
      <c r="G50" s="5">
        <f>+'[1]CONSOLIDADO RF'!BL54</f>
        <v>4.5999999999999999E-2</v>
      </c>
      <c r="H50" s="4">
        <f>+'[1]CONSOLIDADO RF'!BO54</f>
        <v>0</v>
      </c>
      <c r="I50" s="4">
        <f>+'[1]CONSOLIDADO RF'!BQ54</f>
        <v>4.7</v>
      </c>
      <c r="J50" s="4" t="s">
        <v>10</v>
      </c>
    </row>
    <row r="51" spans="1:10" x14ac:dyDescent="0.3">
      <c r="A51" s="3">
        <v>50</v>
      </c>
      <c r="B51" s="4" t="str">
        <f>+'[1]CONSOLIDADO RF'!J55</f>
        <v>Lima</v>
      </c>
      <c r="C51" s="4" t="str">
        <f>+'[1]CONSOLIDADO RF'!K55</f>
        <v>Huaral</v>
      </c>
      <c r="D51" s="4" t="str">
        <f>+'[1]CONSOLIDADO RF'!L55</f>
        <v>San Miguel De Acos</v>
      </c>
      <c r="E51" s="4" t="str">
        <f>+'[1]CONSOLIDADO RF'!N55</f>
        <v>Llerhuanca San José</v>
      </c>
      <c r="F51" s="4" t="str">
        <f>+'[1]CONSOLIDADO RF'!AX55</f>
        <v>LIMA PQ 4</v>
      </c>
      <c r="G51" s="5">
        <f>+'[1]CONSOLIDADO RF'!BL55</f>
        <v>4.4999999999999998E-2</v>
      </c>
      <c r="H51" s="4">
        <f>+'[1]CONSOLIDADO RF'!BO55</f>
        <v>0</v>
      </c>
      <c r="I51" s="4">
        <f>+'[1]CONSOLIDADO RF'!BQ55</f>
        <v>0.73</v>
      </c>
      <c r="J51" s="4" t="s">
        <v>10</v>
      </c>
    </row>
    <row r="52" spans="1:10" x14ac:dyDescent="0.3">
      <c r="A52" s="3">
        <v>51</v>
      </c>
      <c r="B52" s="4" t="str">
        <f>+'[1]CONSOLIDADO RF'!J56</f>
        <v>Lima</v>
      </c>
      <c r="C52" s="4" t="str">
        <f>+'[1]CONSOLIDADO RF'!K56</f>
        <v>Huaral</v>
      </c>
      <c r="D52" s="4" t="str">
        <f>+'[1]CONSOLIDADO RF'!L56</f>
        <v>Sumbilca</v>
      </c>
      <c r="E52" s="4" t="str">
        <f>+'[1]CONSOLIDADO RF'!N56</f>
        <v>Picay</v>
      </c>
      <c r="F52" s="4" t="str">
        <f>+'[1]CONSOLIDADO RF'!AX56</f>
        <v>LIMA PQ 4</v>
      </c>
      <c r="G52" s="5">
        <f>+'[1]CONSOLIDADO RF'!BL56</f>
        <v>0.38</v>
      </c>
      <c r="H52" s="4">
        <f>+'[1]CONSOLIDADO RF'!BO56</f>
        <v>0</v>
      </c>
      <c r="I52" s="4">
        <f>+'[1]CONSOLIDADO RF'!BQ56</f>
        <v>35</v>
      </c>
      <c r="J52" s="4" t="s">
        <v>10</v>
      </c>
    </row>
    <row r="53" spans="1:10" x14ac:dyDescent="0.3">
      <c r="A53" s="3">
        <v>52</v>
      </c>
      <c r="B53" s="4" t="str">
        <f>+'[1]CONSOLIDADO RF'!J57</f>
        <v>Lima</v>
      </c>
      <c r="C53" s="4" t="str">
        <f>+'[1]CONSOLIDADO RF'!K57</f>
        <v>Huaral</v>
      </c>
      <c r="D53" s="4" t="str">
        <f>+'[1]CONSOLIDADO RF'!L57</f>
        <v>Sumbilca</v>
      </c>
      <c r="E53" s="4" t="str">
        <f>+'[1]CONSOLIDADO RF'!N57</f>
        <v>Huayo Ingenio</v>
      </c>
      <c r="F53" s="4" t="str">
        <f>+'[1]CONSOLIDADO RF'!AX57</f>
        <v>LIMA PQ 4</v>
      </c>
      <c r="G53" s="5">
        <f>+'[1]CONSOLIDADO RF'!BL57</f>
        <v>0.25</v>
      </c>
      <c r="H53" s="4">
        <f>+'[1]CONSOLIDADO RF'!BO57</f>
        <v>7</v>
      </c>
      <c r="I53" s="4">
        <f>+'[1]CONSOLIDADO RF'!BQ57</f>
        <v>2</v>
      </c>
      <c r="J53" s="4" t="s">
        <v>10</v>
      </c>
    </row>
    <row r="54" spans="1:10" x14ac:dyDescent="0.3">
      <c r="A54" s="3">
        <v>53</v>
      </c>
      <c r="B54" s="4" t="str">
        <f>+'[1]CONSOLIDADO RF'!J58</f>
        <v>Lima</v>
      </c>
      <c r="C54" s="4" t="str">
        <f>+'[1]CONSOLIDADO RF'!K58</f>
        <v>Huaral</v>
      </c>
      <c r="D54" s="4" t="str">
        <f>+'[1]CONSOLIDADO RF'!L58</f>
        <v>Sumbilca</v>
      </c>
      <c r="E54" s="4" t="str">
        <f>+'[1]CONSOLIDADO RF'!N58</f>
        <v>Tarayo</v>
      </c>
      <c r="F54" s="4" t="str">
        <f>+'[1]CONSOLIDADO RF'!AX58</f>
        <v>LIMA PQ 4</v>
      </c>
      <c r="G54" s="5">
        <f>+'[1]CONSOLIDADO RF'!BL58</f>
        <v>0.02</v>
      </c>
      <c r="H54" s="4">
        <f>+'[1]CONSOLIDADO RF'!BO58</f>
        <v>3</v>
      </c>
      <c r="I54" s="4">
        <f>+'[1]CONSOLIDADO RF'!BQ58</f>
        <v>20</v>
      </c>
      <c r="J54" s="4" t="s">
        <v>10</v>
      </c>
    </row>
    <row r="55" spans="1:10" x14ac:dyDescent="0.3">
      <c r="A55" s="3">
        <v>54</v>
      </c>
      <c r="B55" s="4" t="str">
        <f>+'[1]CONSOLIDADO RF'!J59</f>
        <v>Lima</v>
      </c>
      <c r="C55" s="4" t="str">
        <f>+'[1]CONSOLIDADO RF'!K59</f>
        <v>Cajatambo</v>
      </c>
      <c r="D55" s="4" t="str">
        <f>+'[1]CONSOLIDADO RF'!L59</f>
        <v>Manas</v>
      </c>
      <c r="E55" s="4" t="str">
        <f>+'[1]CONSOLIDADO RF'!N59</f>
        <v>Caya</v>
      </c>
      <c r="F55" s="4" t="str">
        <f>+'[1]CONSOLIDADO RF'!AX59</f>
        <v>LIMA PQ 3</v>
      </c>
      <c r="G55" s="5">
        <f>+'[1]CONSOLIDADO RF'!BL59</f>
        <v>1.64</v>
      </c>
      <c r="H55" s="4">
        <f>+'[1]CONSOLIDADO RF'!BO59</f>
        <v>0</v>
      </c>
      <c r="I55" s="4">
        <f>+'[1]CONSOLIDADO RF'!BQ59</f>
        <v>24</v>
      </c>
      <c r="J55" s="4" t="s">
        <v>11</v>
      </c>
    </row>
    <row r="56" spans="1:10" x14ac:dyDescent="0.3">
      <c r="A56" s="6">
        <v>55</v>
      </c>
      <c r="B56" s="7" t="str">
        <f>+'[1]CONSOLIDADO RF'!J60</f>
        <v>Lima</v>
      </c>
      <c r="C56" s="7" t="str">
        <f>+'[1]CONSOLIDADO RF'!K60</f>
        <v>Cajatambo</v>
      </c>
      <c r="D56" s="7" t="str">
        <f>+'[1]CONSOLIDADO RF'!L60</f>
        <v>Manas</v>
      </c>
      <c r="E56" s="7" t="str">
        <f>+'[1]CONSOLIDADO RF'!N60</f>
        <v>Pucan 2</v>
      </c>
      <c r="F56" s="7" t="s">
        <v>13</v>
      </c>
      <c r="G56" s="8">
        <f>+'[1]CONSOLIDADO RF'!BL60</f>
        <v>2.1999999999999999E-2</v>
      </c>
      <c r="H56" s="6" t="str">
        <f>+'[1]CONSOLIDADO RF'!BO60</f>
        <v>-</v>
      </c>
      <c r="I56" s="6">
        <f>+'[1]CONSOLIDADO RF'!BQ60</f>
        <v>10</v>
      </c>
      <c r="J56" s="7" t="s">
        <v>13</v>
      </c>
    </row>
    <row r="57" spans="1:10" x14ac:dyDescent="0.3">
      <c r="A57" s="3">
        <v>56</v>
      </c>
      <c r="B57" s="4" t="str">
        <f>+'[1]CONSOLIDADO RF'!J61</f>
        <v>Arequipa</v>
      </c>
      <c r="C57" s="4" t="str">
        <f>+'[1]CONSOLIDADO RF'!K61</f>
        <v>Arequipa</v>
      </c>
      <c r="D57" s="4" t="str">
        <f>+'[1]CONSOLIDADO RF'!L61</f>
        <v>Arequipa</v>
      </c>
      <c r="E57" s="4" t="str">
        <f>+'[1]CONSOLIDADO RF'!N61</f>
        <v>Tingo</v>
      </c>
      <c r="F57" s="4" t="str">
        <f>+'[1]CONSOLIDADO RF'!AX61</f>
        <v>AREQUIPA PQ 2</v>
      </c>
      <c r="G57" s="5">
        <f>+'[1]CONSOLIDADO RF'!BL61</f>
        <v>0.4</v>
      </c>
      <c r="H57" s="4">
        <f>+'[1]CONSOLIDADO RF'!BO61</f>
        <v>96</v>
      </c>
      <c r="I57" s="4">
        <f>+'[1]CONSOLIDADO RF'!BQ61</f>
        <v>0</v>
      </c>
      <c r="J57" s="4" t="s">
        <v>12</v>
      </c>
    </row>
    <row r="58" spans="1:10" x14ac:dyDescent="0.3">
      <c r="A58" s="6">
        <v>57</v>
      </c>
      <c r="B58" s="7" t="str">
        <f>+'[1]CONSOLIDADO RF'!J62</f>
        <v>Arequipa</v>
      </c>
      <c r="C58" s="7" t="str">
        <f>+'[1]CONSOLIDADO RF'!K62</f>
        <v>Arequipa</v>
      </c>
      <c r="D58" s="7" t="str">
        <f>+'[1]CONSOLIDADO RF'!L62</f>
        <v>Arequipa</v>
      </c>
      <c r="E58" s="7" t="str">
        <f>+'[1]CONSOLIDADO RF'!N62</f>
        <v>Club de Abogados</v>
      </c>
      <c r="F58" s="7" t="s">
        <v>13</v>
      </c>
      <c r="G58" s="8">
        <f>+'[1]CONSOLIDADO RF'!BL62</f>
        <v>0.15</v>
      </c>
      <c r="H58" s="6">
        <f>+'[1]CONSOLIDADO RF'!BO62</f>
        <v>240</v>
      </c>
      <c r="I58" s="6">
        <f>+'[1]CONSOLIDADO RF'!BQ62</f>
        <v>2.5</v>
      </c>
      <c r="J58" s="7" t="s">
        <v>13</v>
      </c>
    </row>
    <row r="59" spans="1:10" x14ac:dyDescent="0.3">
      <c r="A59" s="3">
        <v>58</v>
      </c>
      <c r="B59" s="4" t="str">
        <f>+'[1]CONSOLIDADO RF'!J63</f>
        <v>Lima</v>
      </c>
      <c r="C59" s="4" t="str">
        <f>+'[1]CONSOLIDADO RF'!K63</f>
        <v>Yauyos</v>
      </c>
      <c r="D59" s="4" t="str">
        <f>+'[1]CONSOLIDADO RF'!L63</f>
        <v>Allauca</v>
      </c>
      <c r="E59" s="4" t="str">
        <f>+'[1]CONSOLIDADO RF'!N63</f>
        <v>Km 89 Carretera Yauyos</v>
      </c>
      <c r="F59" s="4" t="str">
        <f>+'[1]CONSOLIDADO RF'!AX63</f>
        <v>LIMA PQ 5</v>
      </c>
      <c r="G59" s="5">
        <f>+'[1]CONSOLIDADO RF'!BL63</f>
        <v>1</v>
      </c>
      <c r="H59" s="4">
        <f>+'[1]CONSOLIDADO RF'!BO63</f>
        <v>100</v>
      </c>
      <c r="I59" s="4">
        <f>+'[1]CONSOLIDADO RF'!BQ63</f>
        <v>25</v>
      </c>
      <c r="J59" s="4" t="s">
        <v>11</v>
      </c>
    </row>
    <row r="60" spans="1:10" x14ac:dyDescent="0.3">
      <c r="A60" s="3">
        <v>59</v>
      </c>
      <c r="B60" s="4" t="str">
        <f>+'[1]CONSOLIDADO RF'!J64</f>
        <v>Lima</v>
      </c>
      <c r="C60" s="4" t="str">
        <f>+'[1]CONSOLIDADO RF'!K64</f>
        <v>Huarochiri</v>
      </c>
      <c r="D60" s="4" t="str">
        <f>+'[1]CONSOLIDADO RF'!L64</f>
        <v>San Mateo</v>
      </c>
      <c r="E60" s="4" t="str">
        <f>+'[1]CONSOLIDADO RF'!N64</f>
        <v>Tambo de Viso</v>
      </c>
      <c r="F60" s="4" t="str">
        <f>+'[1]CONSOLIDADO RF'!AX64</f>
        <v>LIMA PQ 5</v>
      </c>
      <c r="G60" s="5">
        <f>+'[1]CONSOLIDADO RF'!BL64</f>
        <v>0.4</v>
      </c>
      <c r="H60" s="4">
        <f>+'[1]CONSOLIDADO RF'!BO64</f>
        <v>0</v>
      </c>
      <c r="I60" s="4">
        <f>+'[1]CONSOLIDADO RF'!BQ64</f>
        <v>0</v>
      </c>
      <c r="J60" s="4" t="s">
        <v>11</v>
      </c>
    </row>
    <row r="61" spans="1:10" x14ac:dyDescent="0.3">
      <c r="A61" s="3">
        <v>60</v>
      </c>
      <c r="B61" s="4" t="str">
        <f>+'[1]CONSOLIDADO RF'!J65</f>
        <v>Lima</v>
      </c>
      <c r="C61" s="4" t="str">
        <f>+'[1]CONSOLIDADO RF'!K65</f>
        <v>Oyon</v>
      </c>
      <c r="D61" s="4" t="str">
        <f>+'[1]CONSOLIDADO RF'!L65</f>
        <v>Oyon</v>
      </c>
      <c r="E61" s="4" t="str">
        <f>+'[1]CONSOLIDADO RF'!N65</f>
        <v>Quichas</v>
      </c>
      <c r="F61" s="4" t="str">
        <f>+'[1]CONSOLIDADO RF'!AX65</f>
        <v>LIMA PQ 3</v>
      </c>
      <c r="G61" s="5">
        <f>+'[1]CONSOLIDADO RF'!BL65</f>
        <v>0.74</v>
      </c>
      <c r="H61" s="4">
        <f>+'[1]CONSOLIDADO RF'!BO65</f>
        <v>360</v>
      </c>
      <c r="I61" s="4">
        <f>+'[1]CONSOLIDADO RF'!BQ65</f>
        <v>0</v>
      </c>
      <c r="J61" s="4" t="s">
        <v>11</v>
      </c>
    </row>
    <row r="62" spans="1:10" x14ac:dyDescent="0.3">
      <c r="A62" s="3">
        <v>61</v>
      </c>
      <c r="B62" s="4" t="str">
        <f>+'[1]CONSOLIDADO RF'!J66</f>
        <v>Lima</v>
      </c>
      <c r="C62" s="4" t="str">
        <f>+'[1]CONSOLIDADO RF'!K66</f>
        <v>Oyon</v>
      </c>
      <c r="D62" s="4" t="str">
        <f>+'[1]CONSOLIDADO RF'!L66</f>
        <v>Oyon</v>
      </c>
      <c r="E62" s="4" t="str">
        <f>+'[1]CONSOLIDADO RF'!N66</f>
        <v>Chuñupampa</v>
      </c>
      <c r="F62" s="4" t="str">
        <f>+'[1]CONSOLIDADO RF'!AX66</f>
        <v>LIMA PQ 3</v>
      </c>
      <c r="G62" s="5">
        <f>+'[1]CONSOLIDADO RF'!BL66</f>
        <v>0.746</v>
      </c>
      <c r="H62" s="4">
        <f>+'[1]CONSOLIDADO RF'!BO66</f>
        <v>240</v>
      </c>
      <c r="I62" s="4">
        <f>+'[1]CONSOLIDADO RF'!BQ66</f>
        <v>0</v>
      </c>
      <c r="J62" s="4" t="s">
        <v>11</v>
      </c>
    </row>
    <row r="63" spans="1:10" x14ac:dyDescent="0.3">
      <c r="A63" s="3">
        <v>62</v>
      </c>
      <c r="B63" s="4" t="str">
        <f>+'[1]CONSOLIDADO RF'!J67</f>
        <v>Arequipa</v>
      </c>
      <c r="C63" s="4" t="str">
        <f>+'[1]CONSOLIDADO RF'!K67</f>
        <v>Arequipa</v>
      </c>
      <c r="D63" s="4" t="str">
        <f>+'[1]CONSOLIDADO RF'!L67</f>
        <v>Socabaya</v>
      </c>
      <c r="E63" s="4" t="str">
        <f>+'[1]CONSOLIDADO RF'!N67</f>
        <v>Cinco Ramos</v>
      </c>
      <c r="F63" s="4" t="str">
        <f>+'[1]CONSOLIDADO RF'!AX67</f>
        <v>AREQUIPA PQ 4</v>
      </c>
      <c r="G63" s="5">
        <f>+'[1]CONSOLIDADO RF'!BL67</f>
        <v>0.5</v>
      </c>
      <c r="H63" s="4">
        <f>+'[1]CONSOLIDADO RF'!BO67</f>
        <v>30</v>
      </c>
      <c r="I63" s="4">
        <f>+'[1]CONSOLIDADO RF'!BQ67</f>
        <v>5.12</v>
      </c>
      <c r="J63" s="4" t="s">
        <v>11</v>
      </c>
    </row>
    <row r="64" spans="1:10" x14ac:dyDescent="0.3">
      <c r="A64" s="3">
        <v>63</v>
      </c>
      <c r="B64" s="4" t="str">
        <f>+'[1]CONSOLIDADO RF'!J68</f>
        <v>Arequipa</v>
      </c>
      <c r="C64" s="4" t="str">
        <f>+'[1]CONSOLIDADO RF'!K68</f>
        <v>Arequipa</v>
      </c>
      <c r="D64" s="4" t="str">
        <f>+'[1]CONSOLIDADO RF'!L68</f>
        <v>Socabaya</v>
      </c>
      <c r="E64" s="4" t="str">
        <f>+'[1]CONSOLIDADO RF'!N68</f>
        <v>El Medio y Molino</v>
      </c>
      <c r="F64" s="4" t="str">
        <f>+'[1]CONSOLIDADO RF'!AX68</f>
        <v>AREQUIPA PQ 4</v>
      </c>
      <c r="G64" s="5">
        <f>+'[1]CONSOLIDADO RF'!BL68</f>
        <v>0.98</v>
      </c>
      <c r="H64" s="4">
        <f>+'[1]CONSOLIDADO RF'!BO68</f>
        <v>45</v>
      </c>
      <c r="I64" s="4">
        <f>+'[1]CONSOLIDADO RF'!BQ68</f>
        <v>7.73</v>
      </c>
      <c r="J64" s="4" t="s">
        <v>11</v>
      </c>
    </row>
    <row r="65" spans="1:10" x14ac:dyDescent="0.3">
      <c r="A65" s="6">
        <v>64</v>
      </c>
      <c r="B65" s="7" t="str">
        <f>+'[1]CONSOLIDADO RF'!J69</f>
        <v>Arequipa</v>
      </c>
      <c r="C65" s="7" t="str">
        <f>+'[1]CONSOLIDADO RF'!K69</f>
        <v>Arequipa</v>
      </c>
      <c r="D65" s="7" t="str">
        <f>+'[1]CONSOLIDADO RF'!L69</f>
        <v>Arequipa</v>
      </c>
      <c r="E65" s="7" t="str">
        <f>+'[1]CONSOLIDADO RF'!N69</f>
        <v>Chichas y la Polvora</v>
      </c>
      <c r="F65" s="7" t="s">
        <v>13</v>
      </c>
      <c r="G65" s="8">
        <f>+'[1]CONSOLIDADO RF'!BL69</f>
        <v>0.21</v>
      </c>
      <c r="H65" s="6">
        <f>+'[1]CONSOLIDADO RF'!BO69</f>
        <v>94</v>
      </c>
      <c r="I65" s="6">
        <f>+'[1]CONSOLIDADO RF'!BQ69</f>
        <v>99.04</v>
      </c>
      <c r="J65" s="7" t="s">
        <v>13</v>
      </c>
    </row>
    <row r="66" spans="1:10" x14ac:dyDescent="0.3">
      <c r="A66" s="3">
        <v>65</v>
      </c>
      <c r="B66" s="4" t="str">
        <f>+'[1]CONSOLIDADO RF'!J70</f>
        <v>Piura</v>
      </c>
      <c r="C66" s="4" t="str">
        <f>+'[1]CONSOLIDADO RF'!K70</f>
        <v>Ayabaca</v>
      </c>
      <c r="D66" s="4" t="str">
        <f>+'[1]CONSOLIDADO RF'!L70</f>
        <v>Suyo</v>
      </c>
      <c r="E66" s="4" t="str">
        <f>+'[1]CONSOLIDADO RF'!N70</f>
        <v>Santa Rosa</v>
      </c>
      <c r="F66" s="4" t="str">
        <f>+'[1]CONSOLIDADO RF'!AX70</f>
        <v>PIURA PQ 1</v>
      </c>
      <c r="G66" s="5">
        <f>+'[1]CONSOLIDADO RF'!BL70</f>
        <v>1.35</v>
      </c>
      <c r="H66" s="4">
        <f>+'[1]CONSOLIDADO RF'!BO70</f>
        <v>0</v>
      </c>
      <c r="I66" s="4">
        <f>+'[1]CONSOLIDADO RF'!BQ70</f>
        <v>35</v>
      </c>
      <c r="J66" s="4" t="s">
        <v>11</v>
      </c>
    </row>
    <row r="67" spans="1:10" x14ac:dyDescent="0.3">
      <c r="A67" s="3">
        <v>66</v>
      </c>
      <c r="B67" s="4" t="str">
        <f>+'[1]CONSOLIDADO RF'!J71</f>
        <v>Piura</v>
      </c>
      <c r="C67" s="4" t="str">
        <f>+'[1]CONSOLIDADO RF'!K71</f>
        <v>Ayabaca</v>
      </c>
      <c r="D67" s="4" t="str">
        <f>+'[1]CONSOLIDADO RF'!L71</f>
        <v>Paimas</v>
      </c>
      <c r="E67" s="4" t="str">
        <f>+'[1]CONSOLIDADO RF'!N71</f>
        <v>Algodonal</v>
      </c>
      <c r="F67" s="4" t="str">
        <f>+'[1]CONSOLIDADO RF'!AX71</f>
        <v>PIURA PQ 1</v>
      </c>
      <c r="G67" s="5">
        <f>+'[1]CONSOLIDADO RF'!BL71</f>
        <v>0.56999999999999995</v>
      </c>
      <c r="H67" s="4">
        <f>+'[1]CONSOLIDADO RF'!BO71</f>
        <v>60</v>
      </c>
      <c r="I67" s="4">
        <f>+'[1]CONSOLIDADO RF'!BQ71</f>
        <v>18</v>
      </c>
      <c r="J67" s="4" t="s">
        <v>11</v>
      </c>
    </row>
    <row r="68" spans="1:10" x14ac:dyDescent="0.3">
      <c r="A68" s="3">
        <v>67</v>
      </c>
      <c r="B68" s="4" t="str">
        <f>+'[1]CONSOLIDADO RF'!J72</f>
        <v>La Libertad</v>
      </c>
      <c r="C68" s="4" t="str">
        <f>+'[1]CONSOLIDADO RF'!K72</f>
        <v>Viru</v>
      </c>
      <c r="D68" s="4" t="str">
        <f>+'[1]CONSOLIDADO RF'!L72</f>
        <v>Chao</v>
      </c>
      <c r="E68" s="4" t="str">
        <f>+'[1]CONSOLIDADO RF'!N72</f>
        <v>San Jorge Alto y Palotal</v>
      </c>
      <c r="F68" s="4" t="str">
        <f>+'[1]CONSOLIDADO RF'!AX72</f>
        <v>LA LIBERTAD PQ 4</v>
      </c>
      <c r="G68" s="5">
        <f>+'[1]CONSOLIDADO RF'!BL72</f>
        <v>3.0419999999999998</v>
      </c>
      <c r="H68" s="4">
        <f>+'[1]CONSOLIDADO RF'!BO72</f>
        <v>116</v>
      </c>
      <c r="I68" s="4">
        <f>+'[1]CONSOLIDADO RF'!BQ72</f>
        <v>185.52</v>
      </c>
      <c r="J68" s="4" t="s">
        <v>12</v>
      </c>
    </row>
    <row r="69" spans="1:10" x14ac:dyDescent="0.3">
      <c r="A69" s="3">
        <v>68</v>
      </c>
      <c r="B69" s="4" t="str">
        <f>+'[1]CONSOLIDADO RF'!J73</f>
        <v>La Libertad</v>
      </c>
      <c r="C69" s="4" t="str">
        <f>+'[1]CONSOLIDADO RF'!K73</f>
        <v>Viru</v>
      </c>
      <c r="D69" s="4" t="str">
        <f>+'[1]CONSOLIDADO RF'!L73</f>
        <v>Chao</v>
      </c>
      <c r="E69" s="4" t="str">
        <f>+'[1]CONSOLIDADO RF'!N73</f>
        <v>Palotal y Cerro Cabras</v>
      </c>
      <c r="F69" s="4" t="str">
        <f>+'[1]CONSOLIDADO RF'!AX73</f>
        <v>LA LIBERTAD PQ 4</v>
      </c>
      <c r="G69" s="5">
        <f>+'[1]CONSOLIDADO RF'!BL73</f>
        <v>3.5110000000000001</v>
      </c>
      <c r="H69" s="4">
        <f>+'[1]CONSOLIDADO RF'!BO73</f>
        <v>152</v>
      </c>
      <c r="I69" s="4">
        <f>+'[1]CONSOLIDADO RF'!BQ73</f>
        <v>65</v>
      </c>
      <c r="J69" s="4" t="s">
        <v>12</v>
      </c>
    </row>
    <row r="70" spans="1:10" x14ac:dyDescent="0.3">
      <c r="A70" s="3">
        <v>69</v>
      </c>
      <c r="B70" s="4" t="str">
        <f>+'[1]CONSOLIDADO RF'!J74</f>
        <v>La Libertad</v>
      </c>
      <c r="C70" s="4" t="str">
        <f>+'[1]CONSOLIDADO RF'!K74</f>
        <v>Viru</v>
      </c>
      <c r="D70" s="4" t="str">
        <f>+'[1]CONSOLIDADO RF'!L74</f>
        <v>Chao</v>
      </c>
      <c r="E70" s="4" t="str">
        <f>+'[1]CONSOLIDADO RF'!N74</f>
        <v>Huasaquito</v>
      </c>
      <c r="F70" s="4" t="str">
        <f>+'[1]CONSOLIDADO RF'!AX74</f>
        <v>LA LIBERTAD PQ 4</v>
      </c>
      <c r="G70" s="5">
        <f>+'[1]CONSOLIDADO RF'!BL74</f>
        <v>3.202</v>
      </c>
      <c r="H70" s="4">
        <f>+'[1]CONSOLIDADO RF'!BO74</f>
        <v>600</v>
      </c>
      <c r="I70" s="4">
        <f>+'[1]CONSOLIDADO RF'!BQ74</f>
        <v>111.82</v>
      </c>
      <c r="J70" s="4" t="s">
        <v>12</v>
      </c>
    </row>
    <row r="71" spans="1:10" x14ac:dyDescent="0.3">
      <c r="A71" s="3">
        <v>70</v>
      </c>
      <c r="B71" s="4" t="str">
        <f>+'[1]CONSOLIDADO RF'!J75</f>
        <v>La Libertad</v>
      </c>
      <c r="C71" s="4" t="str">
        <f>+'[1]CONSOLIDADO RF'!K75</f>
        <v>Viru</v>
      </c>
      <c r="D71" s="4" t="str">
        <f>+'[1]CONSOLIDADO RF'!L75</f>
        <v>Chao</v>
      </c>
      <c r="E71" s="4" t="str">
        <f>+'[1]CONSOLIDADO RF'!N75</f>
        <v>Santa Rita Alta</v>
      </c>
      <c r="F71" s="4" t="str">
        <f>+'[1]CONSOLIDADO RF'!AX75</f>
        <v>LA LIBERTAD PQ 4</v>
      </c>
      <c r="G71" s="5">
        <f>+'[1]CONSOLIDADO RF'!BL75</f>
        <v>3.0659999999999998</v>
      </c>
      <c r="H71" s="4">
        <f>+'[1]CONSOLIDADO RF'!BO75</f>
        <v>800</v>
      </c>
      <c r="I71" s="4">
        <f>+'[1]CONSOLIDADO RF'!BQ75</f>
        <v>190</v>
      </c>
      <c r="J71" s="4" t="s">
        <v>12</v>
      </c>
    </row>
    <row r="72" spans="1:10" x14ac:dyDescent="0.3">
      <c r="A72" s="3">
        <v>71</v>
      </c>
      <c r="B72" s="4" t="str">
        <f>+'[1]CONSOLIDADO RF'!J76</f>
        <v>La Libertad</v>
      </c>
      <c r="C72" s="4" t="str">
        <f>+'[1]CONSOLIDADO RF'!K76</f>
        <v>Viru</v>
      </c>
      <c r="D72" s="4" t="str">
        <f>+'[1]CONSOLIDADO RF'!L76</f>
        <v>Chao</v>
      </c>
      <c r="E72" s="4" t="str">
        <f>+'[1]CONSOLIDADO RF'!N76</f>
        <v>Tutumo</v>
      </c>
      <c r="F72" s="4" t="str">
        <f>+'[1]CONSOLIDADO RF'!AX76</f>
        <v>LA LIBERTAD PQ 4</v>
      </c>
      <c r="G72" s="5">
        <f>+'[1]CONSOLIDADO RF'!BL76</f>
        <v>1.506</v>
      </c>
      <c r="H72" s="4">
        <f>+'[1]CONSOLIDADO RF'!BO76</f>
        <v>92</v>
      </c>
      <c r="I72" s="4">
        <f>+'[1]CONSOLIDADO RF'!BQ76</f>
        <v>85.57</v>
      </c>
      <c r="J72" s="4" t="s">
        <v>12</v>
      </c>
    </row>
    <row r="73" spans="1:10" x14ac:dyDescent="0.3">
      <c r="A73" s="3">
        <v>72</v>
      </c>
      <c r="B73" s="4" t="str">
        <f>+'[1]CONSOLIDADO RF'!J77</f>
        <v>La Libertad</v>
      </c>
      <c r="C73" s="4" t="str">
        <f>+'[1]CONSOLIDADO RF'!K77</f>
        <v>Viru</v>
      </c>
      <c r="D73" s="4" t="str">
        <f>+'[1]CONSOLIDADO RF'!L77</f>
        <v>Chao</v>
      </c>
      <c r="E73" s="4" t="str">
        <f>+'[1]CONSOLIDADO RF'!N77</f>
        <v>Santa Rita Baja y Coronado</v>
      </c>
      <c r="F73" s="4" t="str">
        <f>+'[1]CONSOLIDADO RF'!AX77</f>
        <v>LA LIBERTAD PQ 2</v>
      </c>
      <c r="G73" s="5">
        <f>+'[1]CONSOLIDADO RF'!BL77</f>
        <v>3.8740000000000001</v>
      </c>
      <c r="H73" s="4">
        <f>+'[1]CONSOLIDADO RF'!BO77</f>
        <v>150</v>
      </c>
      <c r="I73" s="4">
        <f>+'[1]CONSOLIDADO RF'!BQ77</f>
        <v>100</v>
      </c>
      <c r="J73" s="4" t="s">
        <v>12</v>
      </c>
    </row>
    <row r="74" spans="1:10" x14ac:dyDescent="0.3">
      <c r="A74" s="3">
        <v>73</v>
      </c>
      <c r="B74" s="4" t="str">
        <f>+'[1]CONSOLIDADO RF'!J78</f>
        <v>La Libertad</v>
      </c>
      <c r="C74" s="4" t="str">
        <f>+'[1]CONSOLIDADO RF'!K78</f>
        <v>Viru</v>
      </c>
      <c r="D74" s="4" t="str">
        <f>+'[1]CONSOLIDADO RF'!L78</f>
        <v>Chao</v>
      </c>
      <c r="E74" s="4" t="str">
        <f>+'[1]CONSOLIDADO RF'!N78</f>
        <v>Chao Alto y San Carlos</v>
      </c>
      <c r="F74" s="4" t="str">
        <f>+'[1]CONSOLIDADO RF'!AX78</f>
        <v>LA LIBERTAD PQ 2</v>
      </c>
      <c r="G74" s="5">
        <f>+'[1]CONSOLIDADO RF'!BL78</f>
        <v>3.5089999999999999</v>
      </c>
      <c r="H74" s="4">
        <f>+'[1]CONSOLIDADO RF'!BO78</f>
        <v>200</v>
      </c>
      <c r="I74" s="4">
        <f>+'[1]CONSOLIDADO RF'!BQ78</f>
        <v>150</v>
      </c>
      <c r="J74" s="4" t="s">
        <v>12</v>
      </c>
    </row>
    <row r="75" spans="1:10" x14ac:dyDescent="0.3">
      <c r="A75" s="3">
        <v>74</v>
      </c>
      <c r="B75" s="4" t="str">
        <f>+'[1]CONSOLIDADO RF'!J79</f>
        <v>La Libertad</v>
      </c>
      <c r="C75" s="4" t="str">
        <f>+'[1]CONSOLIDADO RF'!K79</f>
        <v>Viru</v>
      </c>
      <c r="D75" s="4" t="str">
        <f>+'[1]CONSOLIDADO RF'!L79</f>
        <v>Chao</v>
      </c>
      <c r="E75" s="4" t="str">
        <f>+'[1]CONSOLIDADO RF'!N79</f>
        <v>Pampas de Tizal</v>
      </c>
      <c r="F75" s="4" t="str">
        <f>+'[1]CONSOLIDADO RF'!AX79</f>
        <v>LA LIBERTAD PQ 2</v>
      </c>
      <c r="G75" s="5">
        <f>+'[1]CONSOLIDADO RF'!BL79</f>
        <v>2.63</v>
      </c>
      <c r="H75" s="4">
        <f>+'[1]CONSOLIDADO RF'!BO79</f>
        <v>240</v>
      </c>
      <c r="I75" s="4">
        <f>+'[1]CONSOLIDADO RF'!BQ79</f>
        <v>245</v>
      </c>
      <c r="J75" s="4" t="s">
        <v>12</v>
      </c>
    </row>
    <row r="76" spans="1:10" x14ac:dyDescent="0.3">
      <c r="A76" s="3">
        <v>75</v>
      </c>
      <c r="B76" s="4" t="str">
        <f>+'[1]CONSOLIDADO RF'!J80</f>
        <v>La Libertad</v>
      </c>
      <c r="C76" s="4" t="str">
        <f>+'[1]CONSOLIDADO RF'!K80</f>
        <v>Viru</v>
      </c>
      <c r="D76" s="4" t="str">
        <f>+'[1]CONSOLIDADO RF'!L80</f>
        <v>Chao</v>
      </c>
      <c r="E76" s="4" t="str">
        <f>+'[1]CONSOLIDADO RF'!N80</f>
        <v>Pampas de Tizal y CP Chao</v>
      </c>
      <c r="F76" s="4" t="str">
        <f>+'[1]CONSOLIDADO RF'!AX80</f>
        <v>LA LIBERTAD PQ 2</v>
      </c>
      <c r="G76" s="5">
        <f>+'[1]CONSOLIDADO RF'!BL80</f>
        <v>2.6389999999999998</v>
      </c>
      <c r="H76" s="4">
        <f>+'[1]CONSOLIDADO RF'!BO80</f>
        <v>240</v>
      </c>
      <c r="I76" s="4">
        <f>+'[1]CONSOLIDADO RF'!BQ80</f>
        <v>245</v>
      </c>
      <c r="J76" s="4" t="s">
        <v>12</v>
      </c>
    </row>
    <row r="77" spans="1:10" x14ac:dyDescent="0.3">
      <c r="A77" s="3">
        <v>76</v>
      </c>
      <c r="B77" s="4" t="str">
        <f>+'[1]CONSOLIDADO RF'!J81</f>
        <v>La Libertad</v>
      </c>
      <c r="C77" s="4" t="str">
        <f>+'[1]CONSOLIDADO RF'!K81</f>
        <v>Viru</v>
      </c>
      <c r="D77" s="4" t="str">
        <f>+'[1]CONSOLIDADO RF'!L81</f>
        <v>Chao</v>
      </c>
      <c r="E77" s="4" t="str">
        <f>+'[1]CONSOLIDADO RF'!N81</f>
        <v>CP Chao y El Inca</v>
      </c>
      <c r="F77" s="4" t="str">
        <f>+'[1]CONSOLIDADO RF'!AX81</f>
        <v>LA LIBERTAD PQ 2</v>
      </c>
      <c r="G77" s="5">
        <f>+'[1]CONSOLIDADO RF'!BL81</f>
        <v>4.4080000000000004</v>
      </c>
      <c r="H77" s="4">
        <f>+'[1]CONSOLIDADO RF'!BO81</f>
        <v>2400</v>
      </c>
      <c r="I77" s="4">
        <f>+'[1]CONSOLIDADO RF'!BQ81</f>
        <v>245</v>
      </c>
      <c r="J77" s="4" t="s">
        <v>12</v>
      </c>
    </row>
    <row r="78" spans="1:10" x14ac:dyDescent="0.3">
      <c r="A78" s="3">
        <v>77</v>
      </c>
      <c r="B78" s="4" t="str">
        <f>+'[1]CONSOLIDADO RF'!J82</f>
        <v>La Libertad</v>
      </c>
      <c r="C78" s="4" t="str">
        <f>+'[1]CONSOLIDADO RF'!K82</f>
        <v>Viru</v>
      </c>
      <c r="D78" s="4" t="str">
        <f>+'[1]CONSOLIDADO RF'!L82</f>
        <v>Chao</v>
      </c>
      <c r="E78" s="4" t="str">
        <f>+'[1]CONSOLIDADO RF'!N82</f>
        <v>El Inca y Palermo</v>
      </c>
      <c r="F78" s="4" t="str">
        <f>+'[1]CONSOLIDADO RF'!AX82</f>
        <v>LA LIBERTAD PQ 4</v>
      </c>
      <c r="G78" s="5">
        <f>+'[1]CONSOLIDADO RF'!BL82</f>
        <v>3.6659999999999999</v>
      </c>
      <c r="H78" s="4">
        <f>+'[1]CONSOLIDADO RF'!BO82</f>
        <v>2450</v>
      </c>
      <c r="I78" s="4">
        <f>+'[1]CONSOLIDADO RF'!BQ82</f>
        <v>245</v>
      </c>
      <c r="J78" s="4" t="s">
        <v>12</v>
      </c>
    </row>
    <row r="79" spans="1:10" x14ac:dyDescent="0.3">
      <c r="A79" s="3">
        <v>78</v>
      </c>
      <c r="B79" s="4" t="str">
        <f>+'[1]CONSOLIDADO RF'!J83</f>
        <v>La Libertad</v>
      </c>
      <c r="C79" s="4" t="str">
        <f>+'[1]CONSOLIDADO RF'!K83</f>
        <v>Viru</v>
      </c>
      <c r="D79" s="4" t="str">
        <f>+'[1]CONSOLIDADO RF'!L83</f>
        <v>Chao</v>
      </c>
      <c r="E79" s="4" t="str">
        <f>+'[1]CONSOLIDADO RF'!N83</f>
        <v>Palermo y San Jorge Alto</v>
      </c>
      <c r="F79" s="4" t="str">
        <f>+'[1]CONSOLIDADO RF'!AX83</f>
        <v>LA LIBERTAD PQ 4</v>
      </c>
      <c r="G79" s="5">
        <f>+'[1]CONSOLIDADO RF'!BL83</f>
        <v>4.6109999999999998</v>
      </c>
      <c r="H79" s="4">
        <f>+'[1]CONSOLIDADO RF'!BO83</f>
        <v>2450</v>
      </c>
      <c r="I79" s="4">
        <f>+'[1]CONSOLIDADO RF'!BQ83</f>
        <v>245</v>
      </c>
      <c r="J79" s="4" t="s">
        <v>12</v>
      </c>
    </row>
    <row r="80" spans="1:10" x14ac:dyDescent="0.3">
      <c r="A80" s="3">
        <v>79</v>
      </c>
      <c r="B80" s="4" t="str">
        <f>+'[1]CONSOLIDADO RF'!J84</f>
        <v>La Libertad</v>
      </c>
      <c r="C80" s="4" t="str">
        <f>+'[1]CONSOLIDADO RF'!K84</f>
        <v>Viru</v>
      </c>
      <c r="D80" s="4" t="str">
        <f>+'[1]CONSOLIDADO RF'!L84</f>
        <v>Chao</v>
      </c>
      <c r="E80" s="4" t="str">
        <f>+'[1]CONSOLIDADO RF'!N84</f>
        <v xml:space="preserve">Bocana, Medanos y Laramie </v>
      </c>
      <c r="F80" s="4" t="str">
        <f>+'[1]CONSOLIDADO RF'!AX84</f>
        <v>LA LIBERTAD PQ 2</v>
      </c>
      <c r="G80" s="5">
        <f>+'[1]CONSOLIDADO RF'!BL84</f>
        <v>4.9649999999999999</v>
      </c>
      <c r="H80" s="4">
        <f>+'[1]CONSOLIDADO RF'!BO84</f>
        <v>200</v>
      </c>
      <c r="I80" s="4">
        <f>+'[1]CONSOLIDADO RF'!BQ84</f>
        <v>245</v>
      </c>
      <c r="J80" s="4" t="s">
        <v>12</v>
      </c>
    </row>
    <row r="81" spans="1:10" x14ac:dyDescent="0.3">
      <c r="A81" s="3">
        <v>80</v>
      </c>
      <c r="B81" s="4" t="str">
        <f>+'[1]CONSOLIDADO RF'!J85</f>
        <v>La Libertad</v>
      </c>
      <c r="C81" s="4" t="str">
        <f>+'[1]CONSOLIDADO RF'!K85</f>
        <v>Viru</v>
      </c>
      <c r="D81" s="4" t="str">
        <f>+'[1]CONSOLIDADO RF'!L85</f>
        <v>Chao</v>
      </c>
      <c r="E81" s="4" t="str">
        <f>+'[1]CONSOLIDADO RF'!N85</f>
        <v xml:space="preserve">El progreso y Santa Rita Baja </v>
      </c>
      <c r="F81" s="4" t="str">
        <f>+'[1]CONSOLIDADO RF'!AX85</f>
        <v>LA LIBERTAD PQ 2</v>
      </c>
      <c r="G81" s="5">
        <f>+'[1]CONSOLIDADO RF'!BL85</f>
        <v>3.35</v>
      </c>
      <c r="H81" s="4">
        <f>+'[1]CONSOLIDADO RF'!BO85</f>
        <v>150</v>
      </c>
      <c r="I81" s="4">
        <f>+'[1]CONSOLIDADO RF'!BQ85</f>
        <v>100</v>
      </c>
      <c r="J81" s="4" t="s">
        <v>12</v>
      </c>
    </row>
    <row r="82" spans="1:10" x14ac:dyDescent="0.3">
      <c r="A82" s="3">
        <v>81</v>
      </c>
      <c r="B82" s="4" t="str">
        <f>+'[1]CONSOLIDADO RF'!J86</f>
        <v>Lima</v>
      </c>
      <c r="C82" s="4" t="str">
        <f>+'[1]CONSOLIDADO RF'!K86</f>
        <v>Huarochiri</v>
      </c>
      <c r="D82" s="4" t="str">
        <f>+'[1]CONSOLIDADO RF'!L86</f>
        <v>Santa Cruz de Cocachacra</v>
      </c>
      <c r="E82" s="4" t="str">
        <f>+'[1]CONSOLIDADO RF'!N86</f>
        <v>Oscolla Parte Alta</v>
      </c>
      <c r="F82" s="4" t="str">
        <f>+'[1]CONSOLIDADO RF'!AX86</f>
        <v>LIMA PQ 5</v>
      </c>
      <c r="G82" s="5">
        <f>+'[1]CONSOLIDADO RF'!BL86</f>
        <v>0.3</v>
      </c>
      <c r="H82" s="4">
        <f>+'[1]CONSOLIDADO RF'!BO86</f>
        <v>400</v>
      </c>
      <c r="I82" s="4">
        <f>+'[1]CONSOLIDADO RF'!BQ86</f>
        <v>80</v>
      </c>
      <c r="J82" s="4" t="s">
        <v>11</v>
      </c>
    </row>
    <row r="83" spans="1:10" x14ac:dyDescent="0.3">
      <c r="A83" s="3">
        <v>82</v>
      </c>
      <c r="B83" s="4" t="str">
        <f>+'[1]CONSOLIDADO RF'!J87</f>
        <v>Lima</v>
      </c>
      <c r="C83" s="4" t="str">
        <f>+'[1]CONSOLIDADO RF'!K87</f>
        <v>Huarochiri</v>
      </c>
      <c r="D83" s="4" t="str">
        <f>+'[1]CONSOLIDADO RF'!L87</f>
        <v>Santa Cruz de Cocachacra</v>
      </c>
      <c r="E83" s="4" t="str">
        <f>+'[1]CONSOLIDADO RF'!N87</f>
        <v>Corcona</v>
      </c>
      <c r="F83" s="4" t="str">
        <f>+'[1]CONSOLIDADO RF'!AX87</f>
        <v>LIMA PQ 5</v>
      </c>
      <c r="G83" s="5">
        <f>+'[1]CONSOLIDADO RF'!BL87</f>
        <v>1.95</v>
      </c>
      <c r="H83" s="4">
        <f>+'[1]CONSOLIDADO RF'!BO87</f>
        <v>2000</v>
      </c>
      <c r="I83" s="4">
        <f>+'[1]CONSOLIDADO RF'!BQ87</f>
        <v>15</v>
      </c>
      <c r="J83" s="4" t="s">
        <v>11</v>
      </c>
    </row>
    <row r="84" spans="1:10" x14ac:dyDescent="0.3">
      <c r="A84" s="3">
        <v>83</v>
      </c>
      <c r="B84" s="4" t="str">
        <f>+'[1]CONSOLIDADO RF'!J88</f>
        <v>Lima</v>
      </c>
      <c r="C84" s="4" t="str">
        <f>+'[1]CONSOLIDADO RF'!K88</f>
        <v>Huaral</v>
      </c>
      <c r="D84" s="4" t="str">
        <f>+'[1]CONSOLIDADO RF'!L88</f>
        <v>Aucallama</v>
      </c>
      <c r="E84" s="4" t="str">
        <f>+'[1]CONSOLIDADO RF'!N88</f>
        <v>Bocatoma Salinas Alta-Manchuria</v>
      </c>
      <c r="F84" s="4" t="str">
        <f>+'[1]CONSOLIDADO RF'!AX88</f>
        <v>LIMA PQ 6</v>
      </c>
      <c r="G84" s="5">
        <f>+'[1]CONSOLIDADO RF'!BL88</f>
        <v>0.71399999999999997</v>
      </c>
      <c r="H84" s="4">
        <f>+'[1]CONSOLIDADO RF'!BO88</f>
        <v>282</v>
      </c>
      <c r="I84" s="4">
        <f>+'[1]CONSOLIDADO RF'!BQ88</f>
        <v>36</v>
      </c>
      <c r="J84" s="4" t="s">
        <v>11</v>
      </c>
    </row>
    <row r="85" spans="1:10" x14ac:dyDescent="0.3">
      <c r="A85" s="3">
        <v>84</v>
      </c>
      <c r="B85" s="4" t="str">
        <f>+'[1]CONSOLIDADO RF'!J89</f>
        <v>Arequipa</v>
      </c>
      <c r="C85" s="4" t="str">
        <f>+'[1]CONSOLIDADO RF'!K89</f>
        <v>Arequipa</v>
      </c>
      <c r="D85" s="4" t="str">
        <f>+'[1]CONSOLIDADO RF'!L89</f>
        <v>Sachaca</v>
      </c>
      <c r="E85" s="4" t="str">
        <f>+'[1]CONSOLIDADO RF'!N89</f>
        <v>Backus</v>
      </c>
      <c r="F85" s="4" t="str">
        <f>+'[1]CONSOLIDADO RF'!AX89</f>
        <v>AREQUIPA PQ 3</v>
      </c>
      <c r="G85" s="5">
        <f>+'[1]CONSOLIDADO RF'!BL89</f>
        <v>0.61</v>
      </c>
      <c r="H85" s="4">
        <f>+'[1]CONSOLIDADO RF'!BO89</f>
        <v>30</v>
      </c>
      <c r="I85" s="4">
        <f>+'[1]CONSOLIDADO RF'!BQ89</f>
        <v>4.5</v>
      </c>
      <c r="J85" s="4" t="s">
        <v>10</v>
      </c>
    </row>
    <row r="86" spans="1:10" x14ac:dyDescent="0.3">
      <c r="A86" s="3">
        <v>85</v>
      </c>
      <c r="B86" s="4" t="str">
        <f>+'[1]CONSOLIDADO RF'!J90</f>
        <v>Arequipa</v>
      </c>
      <c r="C86" s="4" t="str">
        <f>+'[1]CONSOLIDADO RF'!K90</f>
        <v>Arequipa</v>
      </c>
      <c r="D86" s="4" t="str">
        <f>+'[1]CONSOLIDADO RF'!L90</f>
        <v>Sachaca</v>
      </c>
      <c r="E86" s="4" t="str">
        <f>+'[1]CONSOLIDADO RF'!N90</f>
        <v>Backus Aguas Abajo</v>
      </c>
      <c r="F86" s="4" t="str">
        <f>+'[1]CONSOLIDADO RF'!AX90</f>
        <v>AREQUIPA PQ 3</v>
      </c>
      <c r="G86" s="5">
        <f>+'[1]CONSOLIDADO RF'!BL90</f>
        <v>0.1</v>
      </c>
      <c r="H86" s="4">
        <f>+'[1]CONSOLIDADO RF'!BO90</f>
        <v>85</v>
      </c>
      <c r="I86" s="4">
        <f>+'[1]CONSOLIDADO RF'!BQ90</f>
        <v>13.5</v>
      </c>
      <c r="J86" s="4" t="s">
        <v>10</v>
      </c>
    </row>
    <row r="87" spans="1:10" x14ac:dyDescent="0.3">
      <c r="A87" s="6">
        <v>86</v>
      </c>
      <c r="B87" s="7" t="str">
        <f>+'[1]CONSOLIDADO RF'!J91</f>
        <v>Arequipa</v>
      </c>
      <c r="C87" s="7" t="str">
        <f>+'[1]CONSOLIDADO RF'!K91</f>
        <v>Arequipa</v>
      </c>
      <c r="D87" s="7" t="str">
        <f>+'[1]CONSOLIDADO RF'!L91</f>
        <v>Arequipa</v>
      </c>
      <c r="E87" s="7" t="str">
        <f>+'[1]CONSOLIDADO RF'!N91</f>
        <v>Bajo Puente Grau</v>
      </c>
      <c r="F87" s="7" t="s">
        <v>13</v>
      </c>
      <c r="G87" s="8">
        <f>+'[1]CONSOLIDADO RF'!BL91</f>
        <v>0.4</v>
      </c>
      <c r="H87" s="6">
        <f>+'[1]CONSOLIDADO RF'!BO91</f>
        <v>295</v>
      </c>
      <c r="I87" s="6" t="str">
        <f>+'[1]CONSOLIDADO RF'!BQ91</f>
        <v>-</v>
      </c>
      <c r="J87" s="7" t="s">
        <v>13</v>
      </c>
    </row>
    <row r="88" spans="1:10" x14ac:dyDescent="0.3">
      <c r="A88" s="3">
        <v>87</v>
      </c>
      <c r="B88" s="4" t="str">
        <f>+'[1]CONSOLIDADO RF'!J92</f>
        <v>Arequipa</v>
      </c>
      <c r="C88" s="4" t="str">
        <f>+'[1]CONSOLIDADO RF'!K92</f>
        <v>Arequipa</v>
      </c>
      <c r="D88" s="4" t="str">
        <f>+'[1]CONSOLIDADO RF'!L92</f>
        <v>Arequipa</v>
      </c>
      <c r="E88" s="4" t="str">
        <f>+'[1]CONSOLIDADO RF'!N92</f>
        <v>Puente San Martín</v>
      </c>
      <c r="F88" s="4" t="s">
        <v>13</v>
      </c>
      <c r="G88" s="5">
        <f>+'[1]CONSOLIDADO RF'!BL92</f>
        <v>0.63</v>
      </c>
      <c r="H88" s="3">
        <f>+'[1]CONSOLIDADO RF'!BO92</f>
        <v>350</v>
      </c>
      <c r="I88" s="3">
        <f>+'[1]CONSOLIDADO RF'!BQ92</f>
        <v>1</v>
      </c>
      <c r="J88" s="4" t="s">
        <v>13</v>
      </c>
    </row>
    <row r="89" spans="1:10" x14ac:dyDescent="0.3">
      <c r="A89" s="3">
        <v>88</v>
      </c>
      <c r="B89" s="4" t="str">
        <f>+'[1]CONSOLIDADO RF'!J93</f>
        <v>Piura</v>
      </c>
      <c r="C89" s="4" t="str">
        <f>+'[1]CONSOLIDADO RF'!K93</f>
        <v>Ayabaca</v>
      </c>
      <c r="D89" s="4" t="str">
        <f>+'[1]CONSOLIDADO RF'!L93</f>
        <v>Ayabaca</v>
      </c>
      <c r="E89" s="4" t="str">
        <f>+'[1]CONSOLIDADO RF'!N93</f>
        <v>Sausal del Quiroz</v>
      </c>
      <c r="F89" s="4" t="s">
        <v>13</v>
      </c>
      <c r="G89" s="5">
        <f>+'[1]CONSOLIDADO RF'!BL93</f>
        <v>1.1000000000000001</v>
      </c>
      <c r="H89" s="3" t="str">
        <f>+'[1]CONSOLIDADO RF'!BO93</f>
        <v>-</v>
      </c>
      <c r="I89" s="3">
        <f>+'[1]CONSOLIDADO RF'!BQ93</f>
        <v>40</v>
      </c>
      <c r="J89" s="4" t="s">
        <v>13</v>
      </c>
    </row>
    <row r="90" spans="1:10" x14ac:dyDescent="0.3">
      <c r="A90" s="3">
        <v>89</v>
      </c>
      <c r="B90" s="4" t="str">
        <f>+'[1]CONSOLIDADO RF'!J94</f>
        <v>Piura</v>
      </c>
      <c r="C90" s="4" t="str">
        <f>+'[1]CONSOLIDADO RF'!K94</f>
        <v>Ayabaca</v>
      </c>
      <c r="D90" s="4" t="str">
        <f>+'[1]CONSOLIDADO RF'!L94</f>
        <v>Paimas</v>
      </c>
      <c r="E90" s="4" t="str">
        <f>+'[1]CONSOLIDADO RF'!N94</f>
        <v>Culqui</v>
      </c>
      <c r="F90" s="4" t="s">
        <v>13</v>
      </c>
      <c r="G90" s="5">
        <f>+'[1]CONSOLIDADO RF'!BL94</f>
        <v>2.17</v>
      </c>
      <c r="H90" s="3">
        <f>+'[1]CONSOLIDADO RF'!BO94</f>
        <v>609</v>
      </c>
      <c r="I90" s="3">
        <f>+'[1]CONSOLIDADO RF'!BQ94</f>
        <v>45</v>
      </c>
      <c r="J90" s="4" t="s">
        <v>13</v>
      </c>
    </row>
    <row r="91" spans="1:10" x14ac:dyDescent="0.3">
      <c r="A91" s="3">
        <v>90</v>
      </c>
      <c r="B91" s="4" t="str">
        <f>+'[1]CONSOLIDADO RF'!J95</f>
        <v>Arequipa</v>
      </c>
      <c r="C91" s="4" t="str">
        <f>+'[1]CONSOLIDADO RF'!K95</f>
        <v>Arequipa</v>
      </c>
      <c r="D91" s="4" t="str">
        <f>+'[1]CONSOLIDADO RF'!L95</f>
        <v>José Luis Bustamante y Rivero</v>
      </c>
      <c r="E91" s="4" t="str">
        <f>+'[1]CONSOLIDADO RF'!N95</f>
        <v>Puente Acomayo aguas arriba y abajo</v>
      </c>
      <c r="F91" s="4" t="s">
        <v>13</v>
      </c>
      <c r="G91" s="5">
        <f>+'[1]CONSOLIDADO RF'!BL95</f>
        <v>1</v>
      </c>
      <c r="H91" s="3">
        <f>+'[1]CONSOLIDADO RF'!BO95</f>
        <v>1200</v>
      </c>
      <c r="I91" s="3" t="str">
        <f>+'[1]CONSOLIDADO RF'!BQ95</f>
        <v>-</v>
      </c>
      <c r="J91" s="4" t="s">
        <v>13</v>
      </c>
    </row>
    <row r="92" spans="1:10" x14ac:dyDescent="0.3">
      <c r="A92" s="3">
        <v>91</v>
      </c>
      <c r="B92" s="4" t="str">
        <f>+'[1]CONSOLIDADO RF'!J96</f>
        <v>Arequipa</v>
      </c>
      <c r="C92" s="4" t="str">
        <f>+'[1]CONSOLIDADO RF'!K96</f>
        <v>Arequipa</v>
      </c>
      <c r="D92" s="4" t="str">
        <f>+'[1]CONSOLIDADO RF'!L96</f>
        <v>Jacobo Hunter</v>
      </c>
      <c r="E92" s="4" t="str">
        <f>+'[1]CONSOLIDADO RF'!N96</f>
        <v>Terminal Terrestre</v>
      </c>
      <c r="F92" s="4" t="s">
        <v>13</v>
      </c>
      <c r="G92" s="5">
        <f>+'[1]CONSOLIDADO RF'!BL96</f>
        <v>0.39</v>
      </c>
      <c r="H92" s="3">
        <f>+'[1]CONSOLIDADO RF'!BO96</f>
        <v>80</v>
      </c>
      <c r="I92" s="3" t="str">
        <f>+'[1]CONSOLIDADO RF'!BQ96</f>
        <v>-</v>
      </c>
      <c r="J92" s="4" t="s">
        <v>13</v>
      </c>
    </row>
    <row r="93" spans="1:10" x14ac:dyDescent="0.3">
      <c r="A93" s="3">
        <v>92</v>
      </c>
      <c r="B93" s="4" t="str">
        <f>+'[1]CONSOLIDADO RF'!J97</f>
        <v>Arequipa</v>
      </c>
      <c r="C93" s="4" t="str">
        <f>+'[1]CONSOLIDADO RF'!K97</f>
        <v>Arequipa</v>
      </c>
      <c r="D93" s="4" t="str">
        <f>+'[1]CONSOLIDADO RF'!L97</f>
        <v>José Luis Bustamante y Rivero</v>
      </c>
      <c r="E93" s="4" t="str">
        <f>+'[1]CONSOLIDADO RF'!N97</f>
        <v>Los Incas</v>
      </c>
      <c r="F93" s="4" t="s">
        <v>13</v>
      </c>
      <c r="G93" s="5">
        <f>+'[1]CONSOLIDADO RF'!BL97</f>
        <v>1.29</v>
      </c>
      <c r="H93" s="3">
        <f>+'[1]CONSOLIDADO RF'!BO97</f>
        <v>850</v>
      </c>
      <c r="I93" s="3">
        <f>+'[1]CONSOLIDADO RF'!BQ97</f>
        <v>8.5</v>
      </c>
      <c r="J93" s="4" t="s">
        <v>13</v>
      </c>
    </row>
    <row r="94" spans="1:10" x14ac:dyDescent="0.3">
      <c r="A94" s="3">
        <v>93</v>
      </c>
      <c r="B94" s="4" t="str">
        <f>+'[1]CONSOLIDADO RF'!J98</f>
        <v>Arequipa</v>
      </c>
      <c r="C94" s="4" t="str">
        <f>+'[1]CONSOLIDADO RF'!K98</f>
        <v>Arequipa</v>
      </c>
      <c r="D94" s="4" t="str">
        <f>+'[1]CONSOLIDADO RF'!L98</f>
        <v>Sachaca</v>
      </c>
      <c r="E94" s="4" t="str">
        <f>+'[1]CONSOLIDADO RF'!N98</f>
        <v>Janter-Puente Tingo</v>
      </c>
      <c r="F94" s="4" t="str">
        <f>+'[1]CONSOLIDADO RF'!AX98</f>
        <v>AREQUIPA PQ 1</v>
      </c>
      <c r="G94" s="5">
        <f>+'[1]CONSOLIDADO RF'!BL98</f>
        <v>0.36</v>
      </c>
      <c r="H94" s="4">
        <f>+'[1]CONSOLIDADO RF'!BO98</f>
        <v>200</v>
      </c>
      <c r="I94" s="4">
        <f>+'[1]CONSOLIDADO RF'!BQ98</f>
        <v>1.73</v>
      </c>
      <c r="J94" s="4" t="s">
        <v>14</v>
      </c>
    </row>
    <row r="95" spans="1:10" x14ac:dyDescent="0.3">
      <c r="A95" s="6">
        <v>94</v>
      </c>
      <c r="B95" s="7" t="str">
        <f>+'[1]CONSOLIDADO RF'!J99</f>
        <v>Arequipa</v>
      </c>
      <c r="C95" s="7" t="str">
        <f>+'[1]CONSOLIDADO RF'!K99</f>
        <v>Arequipa</v>
      </c>
      <c r="D95" s="7" t="str">
        <f>+'[1]CONSOLIDADO RF'!L99</f>
        <v>Arequipa</v>
      </c>
      <c r="E95" s="7" t="str">
        <f>+'[1]CONSOLIDADO RF'!N99</f>
        <v>Puente de Fierro</v>
      </c>
      <c r="F95" s="7" t="s">
        <v>13</v>
      </c>
      <c r="G95" s="8">
        <f>+'[1]CONSOLIDADO RF'!BL99</f>
        <v>0.39500000000000002</v>
      </c>
      <c r="H95" s="6">
        <f>+'[1]CONSOLIDADO RF'!BO99</f>
        <v>180</v>
      </c>
      <c r="I95" s="6">
        <f>+'[1]CONSOLIDADO RF'!BQ99</f>
        <v>7</v>
      </c>
      <c r="J95" s="7" t="s">
        <v>13</v>
      </c>
    </row>
    <row r="96" spans="1:10" x14ac:dyDescent="0.3">
      <c r="A96" s="3">
        <v>95</v>
      </c>
      <c r="B96" s="4" t="str">
        <f>+'[1]CONSOLIDADO RF'!J100</f>
        <v>Arequipa</v>
      </c>
      <c r="C96" s="4" t="str">
        <f>+'[1]CONSOLIDADO RF'!K100</f>
        <v>Arequipa</v>
      </c>
      <c r="D96" s="4" t="str">
        <f>+'[1]CONSOLIDADO RF'!L100</f>
        <v>Jacobo Hunter</v>
      </c>
      <c r="E96" s="4" t="str">
        <f>+'[1]CONSOLIDADO RF'!N100</f>
        <v>Tiabaya-Puente Beily</v>
      </c>
      <c r="F96" s="4" t="str">
        <f>+'[1]CONSOLIDADO RF'!AX100</f>
        <v>AREQUIPA PQ 2</v>
      </c>
      <c r="G96" s="5">
        <f>+'[1]CONSOLIDADO RF'!BL100</f>
        <v>0.06</v>
      </c>
      <c r="H96" s="4">
        <f>+'[1]CONSOLIDADO RF'!BO100</f>
        <v>15</v>
      </c>
      <c r="I96" s="4">
        <f>+'[1]CONSOLIDADO RF'!BQ100</f>
        <v>30.67</v>
      </c>
      <c r="J96" s="4" t="s">
        <v>12</v>
      </c>
    </row>
    <row r="97" spans="1:10" x14ac:dyDescent="0.3">
      <c r="A97" s="3">
        <v>96</v>
      </c>
      <c r="B97" s="4" t="str">
        <f>+'[1]CONSOLIDADO RF'!J101</f>
        <v>Arequipa</v>
      </c>
      <c r="C97" s="4" t="str">
        <f>+'[1]CONSOLIDADO RF'!K101</f>
        <v>Arequipa</v>
      </c>
      <c r="D97" s="4" t="str">
        <f>+'[1]CONSOLIDADO RF'!L101</f>
        <v>Tiabaya</v>
      </c>
      <c r="E97" s="4" t="str">
        <f>+'[1]CONSOLIDADO RF'!N101</f>
        <v>Puente Tiabaya</v>
      </c>
      <c r="F97" s="4" t="str">
        <f>+'[1]CONSOLIDADO RF'!AX101</f>
        <v>AREQUIPA PQ 3</v>
      </c>
      <c r="G97" s="5">
        <f>+'[1]CONSOLIDADO RF'!BL101</f>
        <v>4.4999999999999998E-2</v>
      </c>
      <c r="H97" s="4">
        <f>+'[1]CONSOLIDADO RF'!BO101</f>
        <v>0</v>
      </c>
      <c r="I97" s="4">
        <f>+'[1]CONSOLIDADO RF'!BQ101</f>
        <v>4.09</v>
      </c>
      <c r="J97" s="4" t="s">
        <v>10</v>
      </c>
    </row>
    <row r="98" spans="1:10" x14ac:dyDescent="0.3">
      <c r="A98" s="3">
        <v>97</v>
      </c>
      <c r="B98" s="4" t="str">
        <f>+'[1]CONSOLIDADO RF'!J102</f>
        <v>Arequipa</v>
      </c>
      <c r="C98" s="4" t="str">
        <f>+'[1]CONSOLIDADO RF'!K102</f>
        <v>Arequipa</v>
      </c>
      <c r="D98" s="4" t="str">
        <f>+'[1]CONSOLIDADO RF'!L102</f>
        <v>Arequipa</v>
      </c>
      <c r="E98" s="4" t="str">
        <f>+'[1]CONSOLIDADO RF'!N102</f>
        <v>La Ribereña</v>
      </c>
      <c r="F98" s="4" t="str">
        <f>+'[1]CONSOLIDADO RF'!AX102</f>
        <v>AREQUIPA PQ 2</v>
      </c>
      <c r="G98" s="5">
        <f>+'[1]CONSOLIDADO RF'!BL102</f>
        <v>0.38</v>
      </c>
      <c r="H98" s="4">
        <f>+'[1]CONSOLIDADO RF'!BO102</f>
        <v>30</v>
      </c>
      <c r="I98" s="4">
        <f>+'[1]CONSOLIDADO RF'!BQ102</f>
        <v>4.5</v>
      </c>
      <c r="J98" s="4" t="s">
        <v>12</v>
      </c>
    </row>
    <row r="99" spans="1:10" x14ac:dyDescent="0.3">
      <c r="A99" s="6">
        <v>98</v>
      </c>
      <c r="B99" s="7" t="str">
        <f>+'[1]CONSOLIDADO RF'!J103</f>
        <v>Arequipa</v>
      </c>
      <c r="C99" s="7" t="str">
        <f>+'[1]CONSOLIDADO RF'!K103</f>
        <v>Arequipa</v>
      </c>
      <c r="D99" s="7" t="str">
        <f>+'[1]CONSOLIDADO RF'!L103</f>
        <v>Arequipa</v>
      </c>
      <c r="E99" s="7" t="str">
        <f>+'[1]CONSOLIDADO RF'!N103</f>
        <v>Cercado 2-Puente San Isisdro</v>
      </c>
      <c r="F99" s="7" t="s">
        <v>13</v>
      </c>
      <c r="G99" s="8">
        <f>+'[1]CONSOLIDADO RF'!BL103</f>
        <v>0.21</v>
      </c>
      <c r="H99" s="6">
        <f>+'[1]CONSOLIDADO RF'!BO103</f>
        <v>70</v>
      </c>
      <c r="I99" s="6" t="str">
        <f>+'[1]CONSOLIDADO RF'!BQ103</f>
        <v>-</v>
      </c>
      <c r="J99" s="7" t="s">
        <v>13</v>
      </c>
    </row>
    <row r="100" spans="1:10" x14ac:dyDescent="0.3">
      <c r="A100" s="3">
        <v>99</v>
      </c>
      <c r="B100" s="4" t="str">
        <f>+'[1]CONSOLIDADO RF'!J104</f>
        <v>Arequipa</v>
      </c>
      <c r="C100" s="4" t="str">
        <f>+'[1]CONSOLIDADO RF'!K104</f>
        <v>Arequipa</v>
      </c>
      <c r="D100" s="4" t="str">
        <f>+'[1]CONSOLIDADO RF'!L104</f>
        <v>Arequipa</v>
      </c>
      <c r="E100" s="4" t="str">
        <f>+'[1]CONSOLIDADO RF'!N104</f>
        <v>Puente Ernesto Gunther</v>
      </c>
      <c r="F100" s="4" t="str">
        <f>+'[1]CONSOLIDADO RF'!AX104</f>
        <v>AREQUIPA PQ 2</v>
      </c>
      <c r="G100" s="5">
        <f>+'[1]CONSOLIDADO RF'!BL104</f>
        <v>4.4999999999999998E-2</v>
      </c>
      <c r="H100" s="4">
        <f>+'[1]CONSOLIDADO RF'!BO104</f>
        <v>180</v>
      </c>
      <c r="I100" s="4">
        <f>+'[1]CONSOLIDADO RF'!BQ104</f>
        <v>10.5</v>
      </c>
      <c r="J100" s="4" t="s">
        <v>12</v>
      </c>
    </row>
    <row r="101" spans="1:10" x14ac:dyDescent="0.3">
      <c r="A101" s="6">
        <v>100</v>
      </c>
      <c r="B101" s="7" t="str">
        <f>+'[1]CONSOLIDADO RF'!J105</f>
        <v>Arequipa</v>
      </c>
      <c r="C101" s="7" t="str">
        <f>+'[1]CONSOLIDADO RF'!K105</f>
        <v>Arequipa</v>
      </c>
      <c r="D101" s="7" t="str">
        <f>+'[1]CONSOLIDADO RF'!L105</f>
        <v>Jacobo Hunter</v>
      </c>
      <c r="E101" s="7" t="str">
        <f>+'[1]CONSOLIDADO RF'!N105</f>
        <v>Puente Ernesto Gunther</v>
      </c>
      <c r="F101" s="7" t="s">
        <v>13</v>
      </c>
      <c r="G101" s="8">
        <f>+'[1]CONSOLIDADO RF'!BL105</f>
        <v>1.0640000000000001</v>
      </c>
      <c r="H101" s="6">
        <f>+'[1]CONSOLIDADO RF'!BO105</f>
        <v>115</v>
      </c>
      <c r="I101" s="6">
        <f>+'[1]CONSOLIDADO RF'!BQ105</f>
        <v>16</v>
      </c>
      <c r="J101" s="7" t="s">
        <v>13</v>
      </c>
    </row>
    <row r="102" spans="1:10" x14ac:dyDescent="0.3">
      <c r="A102" s="3">
        <v>101</v>
      </c>
      <c r="B102" s="4" t="str">
        <f>+'[1]CONSOLIDADO RF'!J106</f>
        <v>Arequipa</v>
      </c>
      <c r="C102" s="4" t="str">
        <f>+'[1]CONSOLIDADO RF'!K106</f>
        <v>Arequipa</v>
      </c>
      <c r="D102" s="4" t="str">
        <f>+'[1]CONSOLIDADO RF'!L106</f>
        <v>Jacobo Hunter</v>
      </c>
      <c r="E102" s="4" t="str">
        <f>+'[1]CONSOLIDADO RF'!N106</f>
        <v>Club de Abogados</v>
      </c>
      <c r="F102" s="4" t="str">
        <f>+'[1]CONSOLIDADO RF'!AX106</f>
        <v>AREQUIPA PQ 2</v>
      </c>
      <c r="G102" s="5">
        <f>+'[1]CONSOLIDADO RF'!BL106</f>
        <v>0.25</v>
      </c>
      <c r="H102" s="4">
        <f>+'[1]CONSOLIDADO RF'!BO106</f>
        <v>240</v>
      </c>
      <c r="I102" s="4">
        <f>+'[1]CONSOLIDADO RF'!BQ106</f>
        <v>2.5</v>
      </c>
      <c r="J102" s="4" t="s">
        <v>12</v>
      </c>
    </row>
    <row r="103" spans="1:10" x14ac:dyDescent="0.3">
      <c r="A103" s="6">
        <v>102</v>
      </c>
      <c r="B103" s="7" t="str">
        <f>+'[1]CONSOLIDADO RF'!J107</f>
        <v>Arequipa</v>
      </c>
      <c r="C103" s="7" t="str">
        <f>+'[1]CONSOLIDADO RF'!K107</f>
        <v>Arequipa</v>
      </c>
      <c r="D103" s="7" t="str">
        <f>+'[1]CONSOLIDADO RF'!L107</f>
        <v>Arequipa</v>
      </c>
      <c r="E103" s="7" t="str">
        <f>+'[1]CONSOLIDADO RF'!N107</f>
        <v>Vallecito</v>
      </c>
      <c r="F103" s="7" t="s">
        <v>13</v>
      </c>
      <c r="G103" s="8">
        <f>+'[1]CONSOLIDADO RF'!BL107</f>
        <v>0.17</v>
      </c>
      <c r="H103" s="6">
        <f>+'[1]CONSOLIDADO RF'!BO107</f>
        <v>180</v>
      </c>
      <c r="I103" s="6">
        <f>+'[1]CONSOLIDADO RF'!BQ107</f>
        <v>3</v>
      </c>
      <c r="J103" s="7" t="s">
        <v>13</v>
      </c>
    </row>
    <row r="104" spans="1:10" x14ac:dyDescent="0.3">
      <c r="A104" s="3">
        <v>103</v>
      </c>
      <c r="B104" s="4" t="str">
        <f>+'[1]CONSOLIDADO RF'!J108</f>
        <v>Piura</v>
      </c>
      <c r="C104" s="4" t="str">
        <f>+'[1]CONSOLIDADO RF'!K108</f>
        <v>Ayabaca</v>
      </c>
      <c r="D104" s="4" t="str">
        <f>+'[1]CONSOLIDADO RF'!L108</f>
        <v>Paimas</v>
      </c>
      <c r="E104" s="4" t="str">
        <f>+'[1]CONSOLIDADO RF'!N108</f>
        <v>Zamba</v>
      </c>
      <c r="F104" s="4" t="s">
        <v>13</v>
      </c>
      <c r="G104" s="5">
        <f>+'[1]CONSOLIDADO RF'!BL108</f>
        <v>0.5</v>
      </c>
      <c r="H104" s="3" t="str">
        <f>+'[1]CONSOLIDADO RF'!BO108</f>
        <v>-</v>
      </c>
      <c r="I104" s="3" t="str">
        <f>+'[1]CONSOLIDADO RF'!BQ108</f>
        <v>-</v>
      </c>
      <c r="J104" s="4" t="s">
        <v>13</v>
      </c>
    </row>
    <row r="105" spans="1:10" x14ac:dyDescent="0.3">
      <c r="A105" s="3">
        <v>104</v>
      </c>
      <c r="B105" s="4" t="str">
        <f>+'[1]CONSOLIDADO RF'!J109</f>
        <v>Arequipa</v>
      </c>
      <c r="C105" s="4" t="str">
        <f>+'[1]CONSOLIDADO RF'!K109</f>
        <v>Arequipa</v>
      </c>
      <c r="D105" s="4" t="str">
        <f>+'[1]CONSOLIDADO RF'!L109</f>
        <v>Socabaya</v>
      </c>
      <c r="E105" s="4" t="str">
        <f>+'[1]CONSOLIDADO RF'!N109</f>
        <v>Puente de la Amistad Aguas Abajo</v>
      </c>
      <c r="F105" s="4" t="str">
        <f>+'[1]CONSOLIDADO RF'!AX109</f>
        <v>AREQUIPA PQ 4</v>
      </c>
      <c r="G105" s="5">
        <f>+'[1]CONSOLIDADO RF'!BL109</f>
        <v>1</v>
      </c>
      <c r="H105" s="4">
        <f>+'[1]CONSOLIDADO RF'!BO109</f>
        <v>0</v>
      </c>
      <c r="I105" s="4">
        <f>+'[1]CONSOLIDADO RF'!BQ109</f>
        <v>20.5</v>
      </c>
      <c r="J105" s="4" t="s">
        <v>11</v>
      </c>
    </row>
    <row r="106" spans="1:10" x14ac:dyDescent="0.3">
      <c r="A106" s="3">
        <v>105</v>
      </c>
      <c r="B106" s="4" t="str">
        <f>+'[1]CONSOLIDADO RF'!J110</f>
        <v>Arequipa</v>
      </c>
      <c r="C106" s="4" t="str">
        <f>+'[1]CONSOLIDADO RF'!K110</f>
        <v>Arequipa</v>
      </c>
      <c r="D106" s="4" t="str">
        <f>+'[1]CONSOLIDADO RF'!L110</f>
        <v>Jacobo Hunter</v>
      </c>
      <c r="E106" s="4" t="str">
        <f>+'[1]CONSOLIDADO RF'!N110</f>
        <v>Las Peñas y Puente de la Amistad</v>
      </c>
      <c r="F106" s="4" t="str">
        <f>+'[1]CONSOLIDADO RF'!AX110</f>
        <v>AREQUIPA PQ 2</v>
      </c>
      <c r="G106" s="5">
        <f>+'[1]CONSOLIDADO RF'!BL110</f>
        <v>0.4</v>
      </c>
      <c r="H106" s="4">
        <f>+'[1]CONSOLIDADO RF'!BO110</f>
        <v>750</v>
      </c>
      <c r="I106" s="4">
        <f>+'[1]CONSOLIDADO RF'!BQ110</f>
        <v>26</v>
      </c>
      <c r="J106" s="4" t="s">
        <v>12</v>
      </c>
    </row>
    <row r="107" spans="1:10" x14ac:dyDescent="0.3">
      <c r="A107" s="3">
        <v>106</v>
      </c>
      <c r="B107" s="4" t="str">
        <f>+'[1]CONSOLIDADO RF'!J111</f>
        <v>Arequipa</v>
      </c>
      <c r="C107" s="4" t="str">
        <f>+'[1]CONSOLIDADO RF'!K111</f>
        <v>Arequipa</v>
      </c>
      <c r="D107" s="4" t="str">
        <f>+'[1]CONSOLIDADO RF'!L111</f>
        <v>Socabaya</v>
      </c>
      <c r="E107" s="4" t="str">
        <f>+'[1]CONSOLIDADO RF'!N111</f>
        <v>Las Peñas y Avenida Socabaya</v>
      </c>
      <c r="F107" s="4" t="str">
        <f>+'[1]CONSOLIDADO RF'!AX111</f>
        <v>AREQUIPA PQ 5</v>
      </c>
      <c r="G107" s="5">
        <f>+'[1]CONSOLIDADO RF'!BL111</f>
        <v>0.74</v>
      </c>
      <c r="H107" s="4">
        <f>+'[1]CONSOLIDADO RF'!BO111</f>
        <v>450</v>
      </c>
      <c r="I107" s="4">
        <f>+'[1]CONSOLIDADO RF'!BQ111</f>
        <v>6</v>
      </c>
      <c r="J107" s="4" t="s">
        <v>10</v>
      </c>
    </row>
    <row r="108" spans="1:10" x14ac:dyDescent="0.3">
      <c r="A108" s="3">
        <v>107</v>
      </c>
      <c r="B108" s="4" t="str">
        <f>+'[1]CONSOLIDADO RF'!J112</f>
        <v>Lima</v>
      </c>
      <c r="C108" s="4" t="str">
        <f>+'[1]CONSOLIDADO RF'!K112</f>
        <v>Canta</v>
      </c>
      <c r="D108" s="4" t="str">
        <f>+'[1]CONSOLIDADO RF'!L112</f>
        <v>Santa Rosa de Quives</v>
      </c>
      <c r="E108" s="4" t="str">
        <f>+'[1]CONSOLIDADO RF'!N112</f>
        <v>Checta</v>
      </c>
      <c r="F108" s="4" t="str">
        <f>+'[1]CONSOLIDADO RF'!AX112</f>
        <v>LIMA PQ 3</v>
      </c>
      <c r="G108" s="5">
        <f>+'[1]CONSOLIDADO RF'!BL112</f>
        <v>0.5</v>
      </c>
      <c r="H108" s="4">
        <f>+'[1]CONSOLIDADO RF'!BO112</f>
        <v>40</v>
      </c>
      <c r="I108" s="4">
        <f>+'[1]CONSOLIDADO RF'!BQ112</f>
        <v>2</v>
      </c>
      <c r="J108" s="4" t="s">
        <v>11</v>
      </c>
    </row>
    <row r="109" spans="1:10" x14ac:dyDescent="0.3">
      <c r="A109" s="3">
        <v>108</v>
      </c>
      <c r="B109" s="4" t="str">
        <f>+'[1]CONSOLIDADO RF'!J113</f>
        <v>Lima</v>
      </c>
      <c r="C109" s="4" t="str">
        <f>+'[1]CONSOLIDADO RF'!K113</f>
        <v>Canta</v>
      </c>
      <c r="D109" s="4" t="str">
        <f>+'[1]CONSOLIDADO RF'!L113</f>
        <v>Santa Rosa de Quives</v>
      </c>
      <c r="E109" s="4" t="str">
        <f>+'[1]CONSOLIDADO RF'!N113</f>
        <v>Puente Macas I</v>
      </c>
      <c r="F109" s="4" t="str">
        <f>+'[1]CONSOLIDADO RF'!AX113</f>
        <v>LIMA PQ 1</v>
      </c>
      <c r="G109" s="5">
        <f>+'[1]CONSOLIDADO RF'!BL113</f>
        <v>0.98</v>
      </c>
      <c r="H109" s="4">
        <f>+'[1]CONSOLIDADO RF'!BO113</f>
        <v>25</v>
      </c>
      <c r="I109" s="4">
        <f>+'[1]CONSOLIDADO RF'!BQ113</f>
        <v>20</v>
      </c>
      <c r="J109" s="4" t="s">
        <v>14</v>
      </c>
    </row>
    <row r="110" spans="1:10" x14ac:dyDescent="0.3">
      <c r="A110" s="3">
        <v>109</v>
      </c>
      <c r="B110" s="4" t="str">
        <f>+'[1]CONSOLIDADO RF'!J114</f>
        <v>Lima</v>
      </c>
      <c r="C110" s="4" t="str">
        <f>+'[1]CONSOLIDADO RF'!K114</f>
        <v>Canta</v>
      </c>
      <c r="D110" s="4" t="str">
        <f>+'[1]CONSOLIDADO RF'!L114</f>
        <v>Santa Rosa de Quives</v>
      </c>
      <c r="E110" s="4" t="str">
        <f>+'[1]CONSOLIDADO RF'!N114</f>
        <v>Puente Macas II</v>
      </c>
      <c r="F110" s="4" t="str">
        <f>+'[1]CONSOLIDADO RF'!AX114</f>
        <v>LIMA PQ 2</v>
      </c>
      <c r="G110" s="5">
        <f>+'[1]CONSOLIDADO RF'!BL114</f>
        <v>0.75</v>
      </c>
      <c r="H110" s="4">
        <f>+'[1]CONSOLIDADO RF'!BO114</f>
        <v>25</v>
      </c>
      <c r="I110" s="4">
        <f>+'[1]CONSOLIDADO RF'!BQ114</f>
        <v>20</v>
      </c>
      <c r="J110" s="4" t="s">
        <v>14</v>
      </c>
    </row>
    <row r="111" spans="1:10" x14ac:dyDescent="0.3">
      <c r="A111" s="3">
        <v>110</v>
      </c>
      <c r="B111" s="4" t="str">
        <f>+'[1]CONSOLIDADO RF'!J115</f>
        <v>Lima</v>
      </c>
      <c r="C111" s="4" t="str">
        <f>+'[1]CONSOLIDADO RF'!K115</f>
        <v>Canta</v>
      </c>
      <c r="D111" s="4" t="str">
        <f>+'[1]CONSOLIDADO RF'!L115</f>
        <v>Santa Rosa de Quives</v>
      </c>
      <c r="E111" s="4" t="str">
        <f>+'[1]CONSOLIDADO RF'!N115</f>
        <v xml:space="preserve">El Olivar </v>
      </c>
      <c r="F111" s="4" t="str">
        <f>+'[1]CONSOLIDADO RF'!AX115</f>
        <v>LIMA PQ 3</v>
      </c>
      <c r="G111" s="5">
        <f>+'[1]CONSOLIDADO RF'!BL115</f>
        <v>1.35</v>
      </c>
      <c r="H111" s="4">
        <f>+'[1]CONSOLIDADO RF'!BO115</f>
        <v>60</v>
      </c>
      <c r="I111" s="4">
        <f>+'[1]CONSOLIDADO RF'!BQ115</f>
        <v>0.5</v>
      </c>
      <c r="J111" s="4" t="s">
        <v>11</v>
      </c>
    </row>
    <row r="112" spans="1:10" x14ac:dyDescent="0.3">
      <c r="A112" s="3">
        <v>111</v>
      </c>
      <c r="B112" s="4" t="str">
        <f>+'[1]CONSOLIDADO RF'!J116</f>
        <v>Lima</v>
      </c>
      <c r="C112" s="4" t="str">
        <f>+'[1]CONSOLIDADO RF'!K116</f>
        <v>Canta</v>
      </c>
      <c r="D112" s="4" t="str">
        <f>+'[1]CONSOLIDADO RF'!L116</f>
        <v>Santa Rosa de Quives</v>
      </c>
      <c r="E112" s="4" t="str">
        <f>+'[1]CONSOLIDADO RF'!N116</f>
        <v>Puente Arahuay</v>
      </c>
      <c r="F112" s="4" t="str">
        <f>+'[1]CONSOLIDADO RF'!AX116</f>
        <v>LIMA PQ 3</v>
      </c>
      <c r="G112" s="5">
        <f>+'[1]CONSOLIDADO RF'!BL116</f>
        <v>0.95</v>
      </c>
      <c r="H112" s="4">
        <f>+'[1]CONSOLIDADO RF'!BO116</f>
        <v>60</v>
      </c>
      <c r="I112" s="4">
        <f>+'[1]CONSOLIDADO RF'!BQ116</f>
        <v>0</v>
      </c>
      <c r="J112" s="4" t="s">
        <v>11</v>
      </c>
    </row>
    <row r="113" spans="1:10" x14ac:dyDescent="0.3">
      <c r="A113" s="3">
        <v>112</v>
      </c>
      <c r="B113" s="4" t="str">
        <f>+'[1]CONSOLIDADO RF'!J117</f>
        <v>Lima</v>
      </c>
      <c r="C113" s="4" t="str">
        <f>+'[1]CONSOLIDADO RF'!K117</f>
        <v>Canta</v>
      </c>
      <c r="D113" s="4" t="str">
        <f>+'[1]CONSOLIDADO RF'!L117</f>
        <v>Santa Rosa de Quives</v>
      </c>
      <c r="E113" s="4" t="str">
        <f>+'[1]CONSOLIDADO RF'!N117</f>
        <v>La Cabaña</v>
      </c>
      <c r="F113" s="4" t="str">
        <f>+'[1]CONSOLIDADO RF'!AX117</f>
        <v>LIMA PQ 3</v>
      </c>
      <c r="G113" s="5">
        <f>+'[1]CONSOLIDADO RF'!BL117</f>
        <v>0.25</v>
      </c>
      <c r="H113" s="4">
        <f>+'[1]CONSOLIDADO RF'!BO117</f>
        <v>96</v>
      </c>
      <c r="I113" s="4">
        <f>+'[1]CONSOLIDADO RF'!BQ117</f>
        <v>0</v>
      </c>
      <c r="J113" s="4" t="s">
        <v>11</v>
      </c>
    </row>
    <row r="114" spans="1:10" x14ac:dyDescent="0.3">
      <c r="A114" s="3">
        <v>113</v>
      </c>
      <c r="B114" s="4" t="str">
        <f>+'[1]CONSOLIDADO RF'!J118</f>
        <v>Lima</v>
      </c>
      <c r="C114" s="4" t="str">
        <f>+'[1]CONSOLIDADO RF'!K118</f>
        <v>Huarochiri</v>
      </c>
      <c r="D114" s="4" t="str">
        <f>+'[1]CONSOLIDADO RF'!L118</f>
        <v>Santo Domingo de Olleros</v>
      </c>
      <c r="E114" s="4" t="str">
        <f>+'[1]CONSOLIDADO RF'!N118</f>
        <v>Caputish</v>
      </c>
      <c r="F114" s="4" t="str">
        <f>+'[1]CONSOLIDADO RF'!AX118</f>
        <v>LIMA PQ 5</v>
      </c>
      <c r="G114" s="5">
        <f>+'[1]CONSOLIDADO RF'!BL118</f>
        <v>0.4</v>
      </c>
      <c r="H114" s="4">
        <f>+'[1]CONSOLIDADO RF'!BO118</f>
        <v>60</v>
      </c>
      <c r="I114" s="4">
        <f>+'[1]CONSOLIDADO RF'!BQ118</f>
        <v>1.8</v>
      </c>
      <c r="J114" s="4" t="s">
        <v>11</v>
      </c>
    </row>
    <row r="115" spans="1:10" x14ac:dyDescent="0.3">
      <c r="A115" s="3">
        <v>114</v>
      </c>
      <c r="B115" s="4" t="str">
        <f>+'[1]CONSOLIDADO RF'!J119</f>
        <v>Lima</v>
      </c>
      <c r="C115" s="4" t="str">
        <f>+'[1]CONSOLIDADO RF'!K119</f>
        <v>Huarochiri</v>
      </c>
      <c r="D115" s="4" t="str">
        <f>+'[1]CONSOLIDADO RF'!L119</f>
        <v>Santo Domingo de Olleros</v>
      </c>
      <c r="E115" s="4" t="str">
        <f>+'[1]CONSOLIDADO RF'!N119</f>
        <v>Chichacara-Pulacama</v>
      </c>
      <c r="F115" s="4" t="str">
        <f>+'[1]CONSOLIDADO RF'!AX119</f>
        <v>LIMA PQ 5</v>
      </c>
      <c r="G115" s="5">
        <f>+'[1]CONSOLIDADO RF'!BL119</f>
        <v>2</v>
      </c>
      <c r="H115" s="4">
        <f>+'[1]CONSOLIDADO RF'!BO119</f>
        <v>86</v>
      </c>
      <c r="I115" s="4">
        <f>+'[1]CONSOLIDADO RF'!BQ119</f>
        <v>3</v>
      </c>
      <c r="J115" s="4" t="s">
        <v>11</v>
      </c>
    </row>
    <row r="116" spans="1:10" x14ac:dyDescent="0.3">
      <c r="A116" s="3">
        <v>115</v>
      </c>
      <c r="B116" s="4" t="str">
        <f>+'[1]CONSOLIDADO RF'!J120</f>
        <v>Lima</v>
      </c>
      <c r="C116" s="4" t="str">
        <f>+'[1]CONSOLIDADO RF'!K120</f>
        <v>Huarochiri</v>
      </c>
      <c r="D116" s="4" t="str">
        <f>+'[1]CONSOLIDADO RF'!L120</f>
        <v>Santo Domingo de Olleros</v>
      </c>
      <c r="E116" s="4" t="str">
        <f>+'[1]CONSOLIDADO RF'!N120</f>
        <v>Cucucli</v>
      </c>
      <c r="F116" s="4" t="str">
        <f>+'[1]CONSOLIDADO RF'!AX120</f>
        <v>LIMA PQ 5</v>
      </c>
      <c r="G116" s="5">
        <f>+'[1]CONSOLIDADO RF'!BL120</f>
        <v>1.96</v>
      </c>
      <c r="H116" s="4">
        <f>+'[1]CONSOLIDADO RF'!BO120</f>
        <v>480</v>
      </c>
      <c r="I116" s="4">
        <f>+'[1]CONSOLIDADO RF'!BQ120</f>
        <v>1.6</v>
      </c>
      <c r="J116" s="4" t="s">
        <v>11</v>
      </c>
    </row>
    <row r="117" spans="1:10" x14ac:dyDescent="0.3">
      <c r="A117" s="3">
        <v>116</v>
      </c>
      <c r="B117" s="4" t="str">
        <f>+'[1]CONSOLIDADO RF'!J121</f>
        <v>Lima</v>
      </c>
      <c r="C117" s="4" t="str">
        <f>+'[1]CONSOLIDADO RF'!K121</f>
        <v>Huarochiri</v>
      </c>
      <c r="D117" s="4" t="str">
        <f>+'[1]CONSOLIDADO RF'!L121</f>
        <v>Santa Eulalia</v>
      </c>
      <c r="E117" s="4" t="str">
        <f>+'[1]CONSOLIDADO RF'!N121</f>
        <v>Huaynani</v>
      </c>
      <c r="F117" s="4" t="str">
        <f>+'[1]CONSOLIDADO RF'!AX121</f>
        <v>LIMA PQ 5</v>
      </c>
      <c r="G117" s="5">
        <f>+'[1]CONSOLIDADO RF'!BL121</f>
        <v>1.5</v>
      </c>
      <c r="H117" s="4">
        <f>+'[1]CONSOLIDADO RF'!BO121</f>
        <v>42</v>
      </c>
      <c r="I117" s="4">
        <f>+'[1]CONSOLIDADO RF'!BQ121</f>
        <v>6</v>
      </c>
      <c r="J117" s="4" t="s">
        <v>11</v>
      </c>
    </row>
    <row r="118" spans="1:10" x14ac:dyDescent="0.3">
      <c r="A118" s="3">
        <v>117</v>
      </c>
      <c r="B118" s="4" t="str">
        <f>+'[1]CONSOLIDADO RF'!J122</f>
        <v>Lima</v>
      </c>
      <c r="C118" s="4" t="str">
        <f>+'[1]CONSOLIDADO RF'!K122</f>
        <v>Huarochiri</v>
      </c>
      <c r="D118" s="4" t="str">
        <f>+'[1]CONSOLIDADO RF'!L122</f>
        <v>Santa Eulalia</v>
      </c>
      <c r="E118" s="4" t="str">
        <f>+'[1]CONSOLIDADO RF'!N122</f>
        <v>Casa Grande-Chune</v>
      </c>
      <c r="F118" s="4" t="str">
        <f>+'[1]CONSOLIDADO RF'!AX122</f>
        <v>LIMA PQ 5</v>
      </c>
      <c r="G118" s="5">
        <f>+'[1]CONSOLIDADO RF'!BL122</f>
        <v>1.105</v>
      </c>
      <c r="H118" s="4">
        <f>+'[1]CONSOLIDADO RF'!BO122</f>
        <v>80</v>
      </c>
      <c r="I118" s="4">
        <f>+'[1]CONSOLIDADO RF'!BQ122</f>
        <v>11.5</v>
      </c>
      <c r="J118" s="4" t="s">
        <v>11</v>
      </c>
    </row>
    <row r="119" spans="1:10" x14ac:dyDescent="0.3">
      <c r="A119" s="6">
        <v>118</v>
      </c>
      <c r="B119" s="7" t="str">
        <f>+'[1]CONSOLIDADO RF'!J123</f>
        <v>Lima</v>
      </c>
      <c r="C119" s="7" t="str">
        <f>+'[1]CONSOLIDADO RF'!K123</f>
        <v>Huarochiri</v>
      </c>
      <c r="D119" s="7" t="str">
        <f>+'[1]CONSOLIDADO RF'!L123</f>
        <v>Santa Eulalia</v>
      </c>
      <c r="E119" s="7" t="str">
        <f>+'[1]CONSOLIDADO RF'!N123</f>
        <v>Chingolay</v>
      </c>
      <c r="F119" s="7" t="s">
        <v>13</v>
      </c>
      <c r="G119" s="8">
        <f>+'[1]CONSOLIDADO RF'!BL123</f>
        <v>5.5E-2</v>
      </c>
      <c r="H119" s="6">
        <f>+'[1]CONSOLIDADO RF'!BO123</f>
        <v>260</v>
      </c>
      <c r="I119" s="6" t="str">
        <f>+'[1]CONSOLIDADO RF'!BQ123</f>
        <v>-</v>
      </c>
      <c r="J119" s="7" t="s">
        <v>13</v>
      </c>
    </row>
    <row r="120" spans="1:10" x14ac:dyDescent="0.3">
      <c r="A120" s="3">
        <v>119</v>
      </c>
      <c r="B120" s="4" t="str">
        <f>+'[1]CONSOLIDADO RF'!J124</f>
        <v>Lima</v>
      </c>
      <c r="C120" s="4" t="str">
        <f>+'[1]CONSOLIDADO RF'!K124</f>
        <v>Huarochiri</v>
      </c>
      <c r="D120" s="4" t="str">
        <f>+'[1]CONSOLIDADO RF'!L124</f>
        <v>Santa Eulalia</v>
      </c>
      <c r="E120" s="4" t="str">
        <f>+'[1]CONSOLIDADO RF'!N124</f>
        <v>Huayaringa 2</v>
      </c>
      <c r="F120" s="4" t="s">
        <v>13</v>
      </c>
      <c r="G120" s="5">
        <f>+'[1]CONSOLIDADO RF'!BL124</f>
        <v>5.5E-2</v>
      </c>
      <c r="H120" s="3">
        <f>+'[1]CONSOLIDADO RF'!BO124</f>
        <v>1200</v>
      </c>
      <c r="I120" s="3" t="str">
        <f>+'[1]CONSOLIDADO RF'!BQ124</f>
        <v>-</v>
      </c>
      <c r="J120" s="4" t="s">
        <v>13</v>
      </c>
    </row>
    <row r="121" spans="1:10" x14ac:dyDescent="0.3">
      <c r="A121" s="3">
        <v>120</v>
      </c>
      <c r="B121" s="4" t="str">
        <f>+'[1]CONSOLIDADO RF'!J125</f>
        <v>Lima</v>
      </c>
      <c r="C121" s="4" t="str">
        <f>+'[1]CONSOLIDADO RF'!K125</f>
        <v>Huarochiri</v>
      </c>
      <c r="D121" s="4" t="str">
        <f>+'[1]CONSOLIDADO RF'!L125</f>
        <v>Santa Eulalia</v>
      </c>
      <c r="E121" s="4" t="str">
        <f>+'[1]CONSOLIDADO RF'!N125</f>
        <v>Mariano Melgar</v>
      </c>
      <c r="F121" s="4" t="s">
        <v>13</v>
      </c>
      <c r="G121" s="5">
        <f>+'[1]CONSOLIDADO RF'!BL125</f>
        <v>2.5000000000000001E-2</v>
      </c>
      <c r="H121" s="3">
        <f>+'[1]CONSOLIDADO RF'!BO125</f>
        <v>348</v>
      </c>
      <c r="I121" s="3" t="str">
        <f>+'[1]CONSOLIDADO RF'!BQ125</f>
        <v>-</v>
      </c>
      <c r="J121" s="4" t="s">
        <v>13</v>
      </c>
    </row>
    <row r="122" spans="1:10" x14ac:dyDescent="0.3">
      <c r="A122" s="3">
        <v>121</v>
      </c>
      <c r="B122" s="4" t="str">
        <f>+'[1]CONSOLIDADO RF'!J126</f>
        <v>Lima</v>
      </c>
      <c r="C122" s="4" t="str">
        <f>+'[1]CONSOLIDADO RF'!K126</f>
        <v>Huarochiri</v>
      </c>
      <c r="D122" s="4" t="str">
        <f>+'[1]CONSOLIDADO RF'!L126</f>
        <v>Santa Eulalia</v>
      </c>
      <c r="E122" s="4" t="str">
        <f>+'[1]CONSOLIDADO RF'!N126</f>
        <v>Mariano Melgar 2</v>
      </c>
      <c r="F122" s="4" t="s">
        <v>13</v>
      </c>
      <c r="G122" s="5">
        <f>+'[1]CONSOLIDADO RF'!BL126</f>
        <v>2.5000000000000001E-2</v>
      </c>
      <c r="H122" s="3">
        <f>+'[1]CONSOLIDADO RF'!BO126</f>
        <v>300</v>
      </c>
      <c r="I122" s="3" t="str">
        <f>+'[1]CONSOLIDADO RF'!BQ126</f>
        <v>-</v>
      </c>
      <c r="J122" s="4" t="s">
        <v>13</v>
      </c>
    </row>
    <row r="123" spans="1:10" x14ac:dyDescent="0.3">
      <c r="A123" s="3">
        <v>122</v>
      </c>
      <c r="B123" s="4" t="str">
        <f>+'[1]CONSOLIDADO RF'!J127</f>
        <v>Lima</v>
      </c>
      <c r="C123" s="4" t="str">
        <f>+'[1]CONSOLIDADO RF'!K127</f>
        <v>Barranca</v>
      </c>
      <c r="D123" s="4" t="str">
        <f>+'[1]CONSOLIDADO RF'!L127</f>
        <v>Supe</v>
      </c>
      <c r="E123" s="4" t="str">
        <f>+'[1]CONSOLIDADO RF'!N127</f>
        <v>Caral-Chupacigarro</v>
      </c>
      <c r="F123" s="4" t="str">
        <f>+'[1]CONSOLIDADO RF'!AX127</f>
        <v>LIMA PQ 3</v>
      </c>
      <c r="G123" s="5">
        <f>+'[1]CONSOLIDADO RF'!BL127</f>
        <v>1.3</v>
      </c>
      <c r="H123" s="4">
        <f>+'[1]CONSOLIDADO RF'!BO127</f>
        <v>0</v>
      </c>
      <c r="I123" s="4">
        <f>+'[1]CONSOLIDADO RF'!BQ127</f>
        <v>33</v>
      </c>
      <c r="J123" s="4" t="s">
        <v>11</v>
      </c>
    </row>
    <row r="124" spans="1:10" x14ac:dyDescent="0.3">
      <c r="A124" s="3">
        <v>123</v>
      </c>
      <c r="B124" s="4" t="str">
        <f>+'[1]CONSOLIDADO RF'!J128</f>
        <v>Lima</v>
      </c>
      <c r="C124" s="4" t="str">
        <f>+'[1]CONSOLIDADO RF'!K128</f>
        <v>Barranca</v>
      </c>
      <c r="D124" s="4" t="str">
        <f>+'[1]CONSOLIDADO RF'!L128</f>
        <v>Supe</v>
      </c>
      <c r="E124" s="4" t="str">
        <f>+'[1]CONSOLIDADO RF'!N128</f>
        <v>Chupacigarro, Llamahuaca-Pando, Hurihuas</v>
      </c>
      <c r="F124" s="4" t="str">
        <f>+'[1]CONSOLIDADO RF'!AX128</f>
        <v>LIMA PQ 3</v>
      </c>
      <c r="G124" s="5">
        <f>+'[1]CONSOLIDADO RF'!BL128</f>
        <v>3.3650000000000002</v>
      </c>
      <c r="H124" s="4">
        <f>+'[1]CONSOLIDADO RF'!BO128</f>
        <v>0</v>
      </c>
      <c r="I124" s="4">
        <f>+'[1]CONSOLIDADO RF'!BQ128</f>
        <v>54</v>
      </c>
      <c r="J124" s="4" t="s">
        <v>11</v>
      </c>
    </row>
    <row r="125" spans="1:10" x14ac:dyDescent="0.3">
      <c r="A125" s="3">
        <v>124</v>
      </c>
      <c r="B125" s="4" t="str">
        <f>+'[1]CONSOLIDADO RF'!J129</f>
        <v>Lima</v>
      </c>
      <c r="C125" s="4" t="str">
        <f>+'[1]CONSOLIDADO RF'!K129</f>
        <v>Barranca</v>
      </c>
      <c r="D125" s="4" t="str">
        <f>+'[1]CONSOLIDADO RF'!L129</f>
        <v>Supe</v>
      </c>
      <c r="E125" s="4" t="str">
        <f>+'[1]CONSOLIDADO RF'!N129</f>
        <v>Pulancache Bajo</v>
      </c>
      <c r="F125" s="4" t="str">
        <f>+'[1]CONSOLIDADO RF'!AX129</f>
        <v>LIMA PQ 3</v>
      </c>
      <c r="G125" s="5">
        <f>+'[1]CONSOLIDADO RF'!BL129</f>
        <v>1.546</v>
      </c>
      <c r="H125" s="4">
        <f>+'[1]CONSOLIDADO RF'!BO129</f>
        <v>0</v>
      </c>
      <c r="I125" s="4">
        <f>+'[1]CONSOLIDADO RF'!BQ129</f>
        <v>28</v>
      </c>
      <c r="J125" s="4" t="s">
        <v>11</v>
      </c>
    </row>
    <row r="126" spans="1:10" x14ac:dyDescent="0.3">
      <c r="A126" s="3">
        <v>125</v>
      </c>
      <c r="B126" s="4" t="str">
        <f>+'[1]CONSOLIDADO RF'!J130</f>
        <v>Lima</v>
      </c>
      <c r="C126" s="4" t="str">
        <f>+'[1]CONSOLIDADO RF'!K130</f>
        <v>Barranca</v>
      </c>
      <c r="D126" s="4" t="str">
        <f>+'[1]CONSOLIDADO RF'!L130</f>
        <v>Supe</v>
      </c>
      <c r="E126" s="4" t="str">
        <f>+'[1]CONSOLIDADO RF'!N130</f>
        <v>Pulancache</v>
      </c>
      <c r="F126" s="4" t="str">
        <f>+'[1]CONSOLIDADO RF'!AX130</f>
        <v>LIMA PQ 3</v>
      </c>
      <c r="G126" s="5">
        <f>+'[1]CONSOLIDADO RF'!BL130</f>
        <v>0.97</v>
      </c>
      <c r="H126" s="4">
        <f>+'[1]CONSOLIDADO RF'!BO130</f>
        <v>180</v>
      </c>
      <c r="I126" s="4">
        <f>+'[1]CONSOLIDADO RF'!BQ130</f>
        <v>28</v>
      </c>
      <c r="J126" s="4" t="s">
        <v>11</v>
      </c>
    </row>
    <row r="127" spans="1:10" x14ac:dyDescent="0.3">
      <c r="A127" s="3">
        <v>126</v>
      </c>
      <c r="B127" s="4" t="str">
        <f>+'[1]CONSOLIDADO RF'!J131</f>
        <v>Lima</v>
      </c>
      <c r="C127" s="4" t="str">
        <f>+'[1]CONSOLIDADO RF'!K131</f>
        <v>Barranca</v>
      </c>
      <c r="D127" s="4" t="str">
        <f>+'[1]CONSOLIDADO RF'!L131</f>
        <v>Pativilca</v>
      </c>
      <c r="E127" s="4" t="str">
        <f>+'[1]CONSOLIDADO RF'!N131</f>
        <v>C.P. Simón Bolívar</v>
      </c>
      <c r="F127" s="4" t="str">
        <f>+'[1]CONSOLIDADO RF'!AX131</f>
        <v>LIMA PQ 3</v>
      </c>
      <c r="G127" s="5">
        <f>+'[1]CONSOLIDADO RF'!BL131</f>
        <v>2.54</v>
      </c>
      <c r="H127" s="4">
        <f>+'[1]CONSOLIDADO RF'!BO131</f>
        <v>200</v>
      </c>
      <c r="I127" s="4">
        <f>+'[1]CONSOLIDADO RF'!BQ131</f>
        <v>40</v>
      </c>
      <c r="J127" s="4" t="s">
        <v>11</v>
      </c>
    </row>
    <row r="128" spans="1:10" x14ac:dyDescent="0.3">
      <c r="A128" s="3">
        <v>127</v>
      </c>
      <c r="B128" s="4" t="str">
        <f>+'[1]CONSOLIDADO RF'!J132</f>
        <v>Lima</v>
      </c>
      <c r="C128" s="4" t="str">
        <f>+'[1]CONSOLIDADO RF'!K132</f>
        <v>Barranca</v>
      </c>
      <c r="D128" s="4" t="str">
        <f>+'[1]CONSOLIDADO RF'!L132</f>
        <v>Barranca</v>
      </c>
      <c r="E128" s="4" t="str">
        <f>+'[1]CONSOLIDADO RF'!N132</f>
        <v>Vinto Bajo</v>
      </c>
      <c r="F128" s="4" t="str">
        <f>+'[1]CONSOLIDADO RF'!AX132</f>
        <v>LIMA PQ 3</v>
      </c>
      <c r="G128" s="5">
        <f>+'[1]CONSOLIDADO RF'!BL132</f>
        <v>4.3499999999999996</v>
      </c>
      <c r="H128" s="4">
        <f>+'[1]CONSOLIDADO RF'!BO132</f>
        <v>0</v>
      </c>
      <c r="I128" s="4">
        <f>+'[1]CONSOLIDADO RF'!BQ132</f>
        <v>59</v>
      </c>
      <c r="J128" s="4" t="s">
        <v>11</v>
      </c>
    </row>
    <row r="129" spans="1:10" x14ac:dyDescent="0.3">
      <c r="A129" s="3">
        <v>128</v>
      </c>
      <c r="B129" s="4" t="str">
        <f>+'[1]CONSOLIDADO RF'!J133</f>
        <v>Lima</v>
      </c>
      <c r="C129" s="4" t="str">
        <f>+'[1]CONSOLIDADO RF'!K133</f>
        <v>Huaral</v>
      </c>
      <c r="D129" s="4" t="str">
        <f>+'[1]CONSOLIDADO RF'!L133</f>
        <v>Huaral</v>
      </c>
      <c r="E129" s="4" t="str">
        <f>+'[1]CONSOLIDADO RF'!N133</f>
        <v>Bocatoma Chancay Huaral-Camino Caqui</v>
      </c>
      <c r="F129" s="4" t="str">
        <f>+'[1]CONSOLIDADO RF'!AX133</f>
        <v>LIMA PQ 6</v>
      </c>
      <c r="G129" s="5">
        <f>+'[1]CONSOLIDADO RF'!BL133</f>
        <v>1.2070000000000001</v>
      </c>
      <c r="H129" s="4">
        <f>+'[1]CONSOLIDADO RF'!BO133</f>
        <v>236</v>
      </c>
      <c r="I129" s="4">
        <f>+'[1]CONSOLIDADO RF'!BQ133</f>
        <v>37</v>
      </c>
      <c r="J129" s="4" t="s">
        <v>10</v>
      </c>
    </row>
    <row r="130" spans="1:10" x14ac:dyDescent="0.3">
      <c r="A130" s="3">
        <v>129</v>
      </c>
      <c r="B130" s="4" t="str">
        <f>+'[1]CONSOLIDADO RF'!J134</f>
        <v>Lima</v>
      </c>
      <c r="C130" s="4" t="str">
        <f>+'[1]CONSOLIDADO RF'!K134</f>
        <v>Huaral</v>
      </c>
      <c r="D130" s="4" t="str">
        <f>+'[1]CONSOLIDADO RF'!L134</f>
        <v>Aucallama</v>
      </c>
      <c r="E130" s="4" t="str">
        <f>+'[1]CONSOLIDADO RF'!N134</f>
        <v>Barraje Huando-Río Pisquillo</v>
      </c>
      <c r="F130" s="4" t="str">
        <f>+'[1]CONSOLIDADO RF'!AX134</f>
        <v>LIMA PQ 6</v>
      </c>
      <c r="G130" s="5">
        <f>+'[1]CONSOLIDADO RF'!BL134</f>
        <v>1.03</v>
      </c>
      <c r="H130" s="4">
        <f>+'[1]CONSOLIDADO RF'!BO134</f>
        <v>66</v>
      </c>
      <c r="I130" s="4">
        <f>+'[1]CONSOLIDADO RF'!BQ134</f>
        <v>85</v>
      </c>
      <c r="J130" s="4" t="s">
        <v>10</v>
      </c>
    </row>
    <row r="131" spans="1:10" x14ac:dyDescent="0.3">
      <c r="A131" s="3">
        <v>130</v>
      </c>
      <c r="B131" s="4" t="str">
        <f>+'[1]CONSOLIDADO RF'!J135</f>
        <v>Lima</v>
      </c>
      <c r="C131" s="4" t="str">
        <f>+'[1]CONSOLIDADO RF'!K135</f>
        <v>Huaral</v>
      </c>
      <c r="D131" s="4" t="str">
        <f>+'[1]CONSOLIDADO RF'!L135</f>
        <v>Huaral</v>
      </c>
      <c r="E131" s="4" t="str">
        <f>+'[1]CONSOLIDADO RF'!N135</f>
        <v>Barraje Huando-Río Pisquillo</v>
      </c>
      <c r="F131" s="4" t="str">
        <f>+'[1]CONSOLIDADO RF'!AX135</f>
        <v>LIMA PQ 6</v>
      </c>
      <c r="G131" s="5">
        <f>+'[1]CONSOLIDADO RF'!BL135</f>
        <v>0.25</v>
      </c>
      <c r="H131" s="4">
        <f>+'[1]CONSOLIDADO RF'!BO135</f>
        <v>38</v>
      </c>
      <c r="I131" s="4">
        <f>+'[1]CONSOLIDADO RF'!BQ135</f>
        <v>52</v>
      </c>
      <c r="J131" s="4" t="s">
        <v>10</v>
      </c>
    </row>
    <row r="132" spans="1:10" x14ac:dyDescent="0.3">
      <c r="A132" s="3">
        <v>131</v>
      </c>
      <c r="B132" s="4" t="str">
        <f>+'[1]CONSOLIDADO RF'!J136</f>
        <v>Lima</v>
      </c>
      <c r="C132" s="4" t="str">
        <f>+'[1]CONSOLIDADO RF'!K136</f>
        <v>Huaral</v>
      </c>
      <c r="D132" s="4" t="str">
        <f>+'[1]CONSOLIDADO RF'!L136</f>
        <v>Huaral</v>
      </c>
      <c r="E132" s="4" t="str">
        <f>+'[1]CONSOLIDADO RF'!N136</f>
        <v>Lunavilca-Pasamayo Bajo</v>
      </c>
      <c r="F132" s="4" t="str">
        <f>+'[1]CONSOLIDADO RF'!AX136</f>
        <v>LIMA PQ 6</v>
      </c>
      <c r="G132" s="5">
        <f>+'[1]CONSOLIDADO RF'!BL136</f>
        <v>2.97</v>
      </c>
      <c r="H132" s="4">
        <f>+'[1]CONSOLIDADO RF'!BO136</f>
        <v>68</v>
      </c>
      <c r="I132" s="4">
        <f>+'[1]CONSOLIDADO RF'!BQ136</f>
        <v>49.5</v>
      </c>
      <c r="J132" s="4" t="s">
        <v>11</v>
      </c>
    </row>
    <row r="133" spans="1:10" x14ac:dyDescent="0.3">
      <c r="A133" s="6">
        <v>132</v>
      </c>
      <c r="B133" s="7" t="str">
        <f>+'[1]CONSOLIDADO RF'!J137</f>
        <v>Lima</v>
      </c>
      <c r="C133" s="7" t="str">
        <f>+'[1]CONSOLIDADO RF'!K137</f>
        <v>Huaral</v>
      </c>
      <c r="D133" s="7" t="str">
        <f>+'[1]CONSOLIDADO RF'!L137</f>
        <v>Chancay</v>
      </c>
      <c r="E133" s="7" t="str">
        <f>+'[1]CONSOLIDADO RF'!N137</f>
        <v>Puente Chancay Aguas Arriba</v>
      </c>
      <c r="F133" s="7" t="s">
        <v>13</v>
      </c>
      <c r="G133" s="8">
        <f>+'[1]CONSOLIDADO RF'!BL137</f>
        <v>0.35</v>
      </c>
      <c r="H133" s="6" t="str">
        <f>+'[1]CONSOLIDADO RF'!BO137</f>
        <v>-</v>
      </c>
      <c r="I133" s="6">
        <f>+'[1]CONSOLIDADO RF'!BQ137</f>
        <v>8</v>
      </c>
      <c r="J133" s="7" t="s">
        <v>13</v>
      </c>
    </row>
    <row r="134" spans="1:10" x14ac:dyDescent="0.3">
      <c r="A134" s="3">
        <v>133</v>
      </c>
      <c r="B134" s="4" t="str">
        <f>+'[1]CONSOLIDADO RF'!J138</f>
        <v>Lima</v>
      </c>
      <c r="C134" s="4" t="str">
        <f>+'[1]CONSOLIDADO RF'!K138</f>
        <v>Huaral</v>
      </c>
      <c r="D134" s="4" t="str">
        <f>+'[1]CONSOLIDADO RF'!L138</f>
        <v>Aucallama</v>
      </c>
      <c r="E134" s="4" t="str">
        <f>+'[1]CONSOLIDADO RF'!N138</f>
        <v>Lunavilca-Pasamayo Bajo</v>
      </c>
      <c r="F134" s="4" t="s">
        <v>13</v>
      </c>
      <c r="G134" s="5">
        <f>+'[1]CONSOLIDADO RF'!BL138</f>
        <v>2.5499999999999998</v>
      </c>
      <c r="H134" s="3" t="str">
        <f>+'[1]CONSOLIDADO RF'!BO138</f>
        <v>-</v>
      </c>
      <c r="I134" s="3">
        <f>+'[1]CONSOLIDADO RF'!BQ138</f>
        <v>79.5</v>
      </c>
      <c r="J134" s="4" t="s">
        <v>13</v>
      </c>
    </row>
    <row r="135" spans="1:10" x14ac:dyDescent="0.3">
      <c r="A135" s="3">
        <v>134</v>
      </c>
      <c r="B135" s="4" t="str">
        <f>+'[1]CONSOLIDADO RF'!J139</f>
        <v>Arequipa</v>
      </c>
      <c r="C135" s="4" t="str">
        <f>+'[1]CONSOLIDADO RF'!K139</f>
        <v>Arequipa</v>
      </c>
      <c r="D135" s="4" t="str">
        <f>+'[1]CONSOLIDADO RF'!L139</f>
        <v>Tiabaya</v>
      </c>
      <c r="E135" s="4" t="str">
        <f>+'[1]CONSOLIDADO RF'!N139</f>
        <v>La Piscina</v>
      </c>
      <c r="F135" s="4" t="str">
        <f>+'[1]CONSOLIDADO RF'!AX139</f>
        <v>AREQUIPA PQ 5</v>
      </c>
      <c r="G135" s="5">
        <f>+'[1]CONSOLIDADO RF'!BL139</f>
        <v>0.61</v>
      </c>
      <c r="H135" s="4">
        <f>+'[1]CONSOLIDADO RF'!BO139</f>
        <v>10</v>
      </c>
      <c r="I135" s="4">
        <f>+'[1]CONSOLIDADO RF'!BQ139</f>
        <v>15</v>
      </c>
      <c r="J135" s="4" t="s">
        <v>10</v>
      </c>
    </row>
    <row r="136" spans="1:10" x14ac:dyDescent="0.3">
      <c r="A136" s="3">
        <v>135</v>
      </c>
      <c r="B136" s="4" t="str">
        <f>+'[1]CONSOLIDADO RF'!J140</f>
        <v>Arequipa</v>
      </c>
      <c r="C136" s="4" t="str">
        <f>+'[1]CONSOLIDADO RF'!K140</f>
        <v>Arequipa</v>
      </c>
      <c r="D136" s="4" t="str">
        <f>+'[1]CONSOLIDADO RF'!L140</f>
        <v>Uchumayo</v>
      </c>
      <c r="E136" s="4" t="str">
        <f>+'[1]CONSOLIDADO RF'!N140</f>
        <v>Congata</v>
      </c>
      <c r="F136" s="4" t="str">
        <f>+'[1]CONSOLIDADO RF'!AX140</f>
        <v>AREQUIPA PQ 3</v>
      </c>
      <c r="G136" s="5">
        <f>+'[1]CONSOLIDADO RF'!BL140</f>
        <v>0.34</v>
      </c>
      <c r="H136" s="4">
        <f>+'[1]CONSOLIDADO RF'!BO140</f>
        <v>0</v>
      </c>
      <c r="I136" s="4">
        <f>+'[1]CONSOLIDADO RF'!BQ140</f>
        <v>15</v>
      </c>
      <c r="J136" s="4" t="s">
        <v>10</v>
      </c>
    </row>
  </sheetData>
  <autoFilter ref="A1:J136" xr:uid="{FBCD50A7-2367-492A-920D-FEE1452BCD6C}"/>
  <dataValidations count="2">
    <dataValidation type="list" allowBlank="1" showInputMessage="1" showErrorMessage="1" sqref="J2:J136" xr:uid="{2823B3EE-A014-4CAE-8062-A1C44553A3C6}">
      <formula1>$M$2:$M$6</formula1>
    </dataValidation>
    <dataValidation type="list" allowBlank="1" showInputMessage="1" showErrorMessage="1" sqref="M2:M4" xr:uid="{3D228662-FC06-4440-B485-DCA356A05BEF}">
      <formula1>$M$2:$M$5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EXCEL MANUEL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cabrera</dc:creator>
  <cp:lastModifiedBy>maurizio cabrera</cp:lastModifiedBy>
  <dcterms:created xsi:type="dcterms:W3CDTF">2026-10-15T17:38:31Z</dcterms:created>
  <dcterms:modified xsi:type="dcterms:W3CDTF">2026-10-15T17:39:31Z</dcterms:modified>
</cp:coreProperties>
</file>